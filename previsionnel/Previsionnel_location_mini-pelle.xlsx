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ynthèse" sheetId="1" state="visible" r:id="rId3"/>
    <sheet name="Lisez-moi" sheetId="2" state="visible" r:id="rId4"/>
    <sheet name="Hypothèses" sheetId="3" state="visible" r:id="rId5"/>
    <sheet name="Financement" sheetId="4" state="visible" r:id="rId6"/>
    <sheet name="Amortissements" sheetId="5" state="visible" r:id="rId7"/>
    <sheet name="Activité A1" sheetId="6" state="visible" r:id="rId8"/>
    <sheet name="Compte de résultat" sheetId="7" state="visible" r:id="rId9"/>
    <sheet name="Trésorerie A1" sheetId="8" state="visible" r:id="rId10"/>
    <sheet name="Rentabilité &amp; seuil"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<sst xmlns="http://schemas.openxmlformats.org/spreadsheetml/2006/main" count="405" uniqueCount="342">
  <si>
    <t xml:space="preserve">PRÉVISIONNEL — LOCATION DE MINI-PELLE &amp; TRAVAUX ANNEXES</t>
  </si>
  <si>
    <t xml:space="preserve">Société en création — 2 associés à 50/50 — capital 1 000 €. Document de travail à destination de l'expert-comptable.</t>
  </si>
  <si>
    <t xml:space="preserve">Démarrage</t>
  </si>
  <si>
    <t xml:space="preserve">Montant</t>
  </si>
  <si>
    <t xml:space="preserve">Total des besoins de démarrage</t>
  </si>
  <si>
    <t xml:space="preserve">Apports des associés (capital + comptes courants)</t>
  </si>
  <si>
    <t xml:space="preserve">Emprunt bancaire à solliciter</t>
  </si>
  <si>
    <t xml:space="preserve">Mensualité d'emprunt</t>
  </si>
  <si>
    <t xml:space="preserve">Indicateurs (€ HT)</t>
  </si>
  <si>
    <t xml:space="preserve">Année 1</t>
  </si>
  <si>
    <t xml:space="preserve">Année 2</t>
  </si>
  <si>
    <t xml:space="preserve">Année 3</t>
  </si>
  <si>
    <t xml:space="preserve">CA location mini-pelle</t>
  </si>
  <si>
    <t xml:space="preserve">CA travaux annexes</t>
  </si>
  <si>
    <t xml:space="preserve">Chiffre d'affaires total</t>
  </si>
  <si>
    <t xml:space="preserve">EBE</t>
  </si>
  <si>
    <t xml:space="preserve">Résultat net</t>
  </si>
  <si>
    <t xml:space="preserve">Rémunération nette des 2 associés</t>
  </si>
  <si>
    <t xml:space="preserve">CAF</t>
  </si>
  <si>
    <t xml:space="preserve">Trésorerie dégagée après remboursement d'emprunt</t>
  </si>
  <si>
    <t xml:space="preserve">Points clés année 1</t>
  </si>
  <si>
    <t xml:space="preserve">Valeur</t>
  </si>
  <si>
    <t xml:space="preserve">Jours de location / mois en moyenne (avec + sans opérateur)</t>
  </si>
  <si>
    <t xml:space="preserve">Taux d'utilisation moyen de la mini-pelle</t>
  </si>
  <si>
    <t xml:space="preserve">Seuil de rentabilité (CA HT)</t>
  </si>
  <si>
    <t xml:space="preserve">Trésorerie minimale atteinte en année 1</t>
  </si>
  <si>
    <t xml:space="preserve">Trésorerie en fin d'année 1</t>
  </si>
  <si>
    <t xml:space="preserve">NOTE DE PRÉSENTATION POUR L'EXPERT-COMPTABLE</t>
  </si>
  <si>
    <t xml:space="preserve">1. Le projet</t>
  </si>
  <si>
    <t xml:space="preserve">Création d'une société de location de mini-pelle 2,5 t, avec ou sans opérateur, et de travaux sur devis : terrassement, évacuation des déchets, maçonnerie après terrassement, élagage et entretien d'espaces verts. Clients : particuliers et entreprises (projets extérieurs, création d'accès pour engins).</t>
  </si>
  <si>
    <t xml:space="preserve">Secteur : Mâcon et alentours. Veille de marché : 8 concurrents directs importants et une dizaine de structures intermédiaires peu équipées. La location avec opérateur pour les particuliers est peu proposée (ni par les grandes enseignes, ni par le TP) : c'est le positionnement différenciant.</t>
  </si>
  <si>
    <t xml:space="preserve">2 associés à parts égales (50/50), capital social de 1 000 €. Répartition des rôles : un associé gère la communication, l'administratif, les devis, la facturation et le suivi clients ; l'autre (Alexandre) gère le terrain : visites préalables et réalisation des travaux.</t>
  </si>
  <si>
    <t xml:space="preserve">Expérience : l'associé chargé de l'administratif a créé et dirige depuis 2022 l'agence Corberon Location (location de nacelles, Replonges) : 1,18 M€ de CA et 264 k€ de bénéfice en 2024, ≈ 1 M€ de CA prévu en 2026, 6 personnes. Les deux associés utilisent déjà la mini-pelle dans leur activité.</t>
  </si>
  <si>
    <t xml:space="preserve">Investissements : mini-pelle 2,5 t (25–30 k€), remorque plateau d'occasion (~8 k€), petit camion benne d'occasion (15–25 k€), matériel et équipements divers, trésorerie de départ. Budget total envisagé : 50 000 à 70 000 €.</t>
  </si>
  <si>
    <t xml:space="preserve">Tarifs : 250–350 € HT/jour sans opérateur ; 650–950 € HT/jour (7 h) avec opérateur, hors déplacement. Travaux annexes sur devis.</t>
  </si>
  <si>
    <t xml:space="preserve">Objectif année 1 : au moins 65 000 € HT de CA sur la location seule, et environ le double (≈ 130 000 € HT) sur l'ensemble de la société.</t>
  </si>
  <si>
    <t xml:space="preserve">Estimation des associés : il faut au minimum 12 jours de location sans opérateur par mois, ou 6 à 8 jours avec opérateur, pour rentabiliser l'achat (à comparer avec la feuille « Rentabilité &amp; seuil »).</t>
  </si>
  <si>
    <t xml:space="preserve">2. Organisation du fichier</t>
  </si>
  <si>
    <t xml:space="preserve">Synthèse : chiffres clés et graphiques.  •  Hypothèses : TOUTES les données modifiables.  •  Financement : plan de financement + tableau d'emprunt.</t>
  </si>
  <si>
    <t xml:space="preserve">Amortissements  •  Activité A1 : jours loués et CA mois par mois  •  Compte de résultat : 3 ans  •  Trésorerie A1 : plan mensuel TTC avec TVA.</t>
  </si>
  <si>
    <t xml:space="preserve">Rentabilité &amp; seuil : jours de location nécessaires par mois, seuil de rentabilité et sensibilité du résultat.</t>
  </si>
  <si>
    <t xml:space="preserve">Code couleur : bleu = saisie ; fond jaune = hypothèse clé à valider ; noir = calcul ; vert = lien vers une autre feuille. Tout se recalcule automatiquement.</t>
  </si>
  <si>
    <t xml:space="preserve">3. Points à confirmer / questions pour la comptable</t>
  </si>
  <si>
    <t xml:space="preserve">• Locations de la mini-pelle aux sociétés des associés (Corberon Location, activité d'Alexandre) : source de CA récurrente, mais conventions à encadrer (prix de marché, conventions réglementées).</t>
  </si>
  <si>
    <t xml:space="preserve">• Achat de matériel d'occasion auprès d'un particulier = pas de TVA récupérable (le plan de trésorerie suppose un achat auprès d'un professionnel avec TVA).</t>
  </si>
  <si>
    <t xml:space="preserve">• Prix retenus en bas de fourchette (280 € HT/jour sans opérateur, 750 € HT/jour avec opérateur) ; les déplacements facturés en plus ne sont pas comptés.</t>
  </si>
  <si>
    <t xml:space="preserve">• Durées d'amortissement du matériel d'occasion ; choix entre emprunt bancaire et crédit-bail / LOA pour la pelle et le camion.</t>
  </si>
  <si>
    <t xml:space="preserve">• Aides possibles : ACRE (exonération partielle de cotisations la 1re année, sous conditions), ARCE/maintien ARE si l'un des associés est demandeur d'emploi, prêt d'honneur (Initiative France, Réseau Entreprendre) pour renforcer l'apport personnel.</t>
  </si>
  <si>
    <t xml:space="preserve">• Régime de TVA (réel normal mensuel supposé) et demande de remboursement du crédit de TVA sur les investissements.</t>
  </si>
  <si>
    <t xml:space="preserve">4. Choix du statut juridique (50/50) — éléments de réflexion</t>
  </si>
  <si>
    <t xml:space="preserve">SARL avec co-gérance des 2 associés : gérance majoritaire → statut TNS, cotisations ≈ 40–45 % du net (hypothèse retenue ici : 45 %). Protection sociale plus faible, dividendes au-delà de 10 % du capital + comptes courants soumis aux cotisations sociales.</t>
  </si>
  <si>
    <t xml:space="preserve">SAS avec un président et un directeur général : assimilés salariés, cotisations ≈ 75–82 % du net, meilleure protection sociale ; aucune cotisation si aucune rémunération n'est versée ; dividendes soumis au prélèvement forfaitaire unique (pas de cotisations sociales).</t>
  </si>
  <si>
    <t xml:space="preserve">→ Si vous ne vous rémunérez pas au début, la SAS est souple ; si vous vous versez un salaire régulier, la SARL coûte moins cher en cotisations. Pour tester la SAS, passer le taux de cotisations à 80 % dans les Hypothèses.</t>
  </si>
  <si>
    <t xml:space="preserve">Dans les deux cas, prévoir un pacte d'associés (répartition des rôles, sortie d'un associé, décisions en cas d'égalité 50/50).</t>
  </si>
  <si>
    <t xml:space="preserve">5. Limites du prévisionnel</t>
  </si>
  <si>
    <t xml:space="preserve">Montants indicatifs basés sur des estimations de marché : à affiner avec les devis réels (matériel, assurances, banque) et la lettre de mission de la comptable. Pas de salarié prévu. Stocks et délais fournisseurs non modélisés (paiement comptant). Les taux fiscaux et sociaux sont à vérifier à la date de création.</t>
  </si>
  <si>
    <t xml:space="preserve">HYPOTHÈSES DU PRÉVISIONNEL — tous montants en € HT</t>
  </si>
  <si>
    <t xml:space="preserve">Cellules en bleu = données saisies (modifiables). Surlignées en jaune = hypothèses clés à valider / compléter. Noir = calculs. Vert = liens vers une autre feuille.</t>
  </si>
  <si>
    <t xml:space="preserve">Général</t>
  </si>
  <si>
    <t xml:space="preserve">Date de démarrage de l'activité (1er mois)</t>
  </si>
  <si>
    <t xml:space="preserve">Hypothèse : démarrage au 1er janvier 2027, à ajuster selon la date d'immatriculation.</t>
  </si>
  <si>
    <t xml:space="preserve">Jours ouvrés par mois (capacité d'une machine)</t>
  </si>
  <si>
    <t xml:space="preserve">jours</t>
  </si>
  <si>
    <t xml:space="preserve">Sert au calcul du taux d'utilisation de la mini-pelle.</t>
  </si>
  <si>
    <t xml:space="preserve">Investissements de départ (HT)</t>
  </si>
  <si>
    <t xml:space="preserve">Mini-pelle 2,5 t</t>
  </si>
  <si>
    <t xml:space="preserve">€ HT</t>
  </si>
  <si>
    <t xml:space="preserve">Donnée fournie : 25 000 à 30 000 € → milieu de fourchette retenu.</t>
  </si>
  <si>
    <t xml:space="preserve">Remorque plateau d'occasion</t>
  </si>
  <si>
    <t xml:space="preserve">Donnée fournie : environ 8 000 € d'occasion.</t>
  </si>
  <si>
    <t xml:space="preserve">Petit camion benne d'occasion</t>
  </si>
  <si>
    <t xml:space="preserve">Donnée fournie : entre 15 000 et 25 000 € → milieu de fourchette retenu.</t>
  </si>
  <si>
    <t xml:space="preserve">Matériel &amp; équipements divers (godets, BRH, outillage, EPI...)</t>
  </si>
  <si>
    <t xml:space="preserve">Estimation : « matériel et équipement en tous genres ».</t>
  </si>
  <si>
    <t xml:space="preserve">Frais d'établissement (statuts, annonce légale, greffe, formalités)</t>
  </si>
  <si>
    <t xml:space="preserve">€</t>
  </si>
  <si>
    <t xml:space="preserve">Estimation. Comptabilisés en charges la 1re année.</t>
  </si>
  <si>
    <t xml:space="preserve">Trésorerie de départ (fonds de roulement)</t>
  </si>
  <si>
    <t xml:space="preserve">Donnée fournie : « un peu de trésorerie de départ ». Montant à ajuster.</t>
  </si>
  <si>
    <t xml:space="preserve">Durées d'amortissement (linéaire)</t>
  </si>
  <si>
    <t xml:space="preserve">Mini-pelle d'occasion</t>
  </si>
  <si>
    <t xml:space="preserve">ans</t>
  </si>
  <si>
    <t xml:space="preserve">Usage courant pour un engin d'occasion (à valider avec la comptable).</t>
  </si>
  <si>
    <t xml:space="preserve">Remorque plateau</t>
  </si>
  <si>
    <t xml:space="preserve">Camion benne d'occasion</t>
  </si>
  <si>
    <t xml:space="preserve">Matériel &amp; équipements</t>
  </si>
  <si>
    <t xml:space="preserve">Le petit matériel &lt; 500 € HT par unité peut être passé directement en charges.</t>
  </si>
  <si>
    <t xml:space="preserve">Financement</t>
  </si>
  <si>
    <t xml:space="preserve">Capital social</t>
  </si>
  <si>
    <t xml:space="preserve">Donnée fournie : 1 000 €, réparti 50/50 (500 € chacun).</t>
  </si>
  <si>
    <t xml:space="preserve">Apports en compte courant d'associés</t>
  </si>
  <si>
    <t xml:space="preserve">Hypothèse : 5 000 € par associé, remboursables quand la trésorerie le permet. Mettre 0 si aucun apport.</t>
  </si>
  <si>
    <t xml:space="preserve">Taux de l'emprunt bancaire (annuel)</t>
  </si>
  <si>
    <t xml:space="preserve">Hypothèse : taux professionnel indicatif 2026 pour un prêt matériel sur 5 ans. À remplacer par l'offre de la banque.</t>
  </si>
  <si>
    <t xml:space="preserve">Durée de l'emprunt</t>
  </si>
  <si>
    <t xml:space="preserve">mois</t>
  </si>
  <si>
    <t xml:space="preserve">Hypothèse : 5 ans, aligné sur la durée d'amortissement du matériel.</t>
  </si>
  <si>
    <t xml:space="preserve">Frais de dossier bancaire + garantie</t>
  </si>
  <si>
    <t xml:space="preserve">Estimation.</t>
  </si>
  <si>
    <t xml:space="preserve">Montant de l'emprunt nécessaire (calculé)</t>
  </si>
  <si>
    <t xml:space="preserve">Total des besoins − capital − apports (feuille Financement).</t>
  </si>
  <si>
    <t xml:space="preserve">Chiffre d'affaires — prix de vente (HT)</t>
  </si>
  <si>
    <t xml:space="preserve">Location mini-pelle SANS opérateur (prix / jour)</t>
  </si>
  <si>
    <t xml:space="preserve">€ HT / jour</t>
  </si>
  <si>
    <t xml:space="preserve">Donnée fournie : 250 à 350 € HT/jour → bas de fourchette retenu par prudence. Déplacements facturés en plus (non comptés).</t>
  </si>
  <si>
    <t xml:space="preserve">Location mini-pelle AVEC opérateur (prix / journée de 7 h)</t>
  </si>
  <si>
    <t xml:space="preserve">Donnée fournie : 650 à 950 € HT pour 7 h hors déplacement → bas de fourchette retenu par prudence.</t>
  </si>
  <si>
    <t xml:space="preserve">Travaux sur devis (terrassement, évacuation déchets, maçonnerie, élagage, espaces verts) — CA A1</t>
  </si>
  <si>
    <t xml:space="preserve">Objectif fourni : « envisager le double sur la société » → 65 k€ de location + 65 k€ de travaux = 130 k€.</t>
  </si>
  <si>
    <t xml:space="preserve">Croissance d'activité année 2</t>
  </si>
  <si>
    <t xml:space="preserve">Hypothèse.</t>
  </si>
  <si>
    <t xml:space="preserve">Croissance d'activité année 3</t>
  </si>
  <si>
    <t xml:space="preserve">→ Le nombre de jours loués par mois et la saisonnalité des travaux se saisissent dans la feuille « Activité A1 ».</t>
  </si>
  <si>
    <t xml:space="preserve">Charges variables</t>
  </si>
  <si>
    <t xml:space="preserve">Achats de matériaux / fournitures refacturés (en % du CA travaux)</t>
  </si>
  <si>
    <t xml:space="preserve">Hypothèse : gravier, sable, béton, tuyaux, mise en décharge…</t>
  </si>
  <si>
    <t xml:space="preserve">Carburant (GNR) par jour de location AVEC opérateur</t>
  </si>
  <si>
    <t xml:space="preserve">Hypothèse : ~3 L/h × 7 h × ~1,45 € HT/L. En location sèche, le client fait le plein.</t>
  </si>
  <si>
    <t xml:space="preserve">Usure / entretien variable par jour de location</t>
  </si>
  <si>
    <t xml:space="preserve">Hypothèse : chenilles, godets, graissage, flexibles, provision au jour loué.</t>
  </si>
  <si>
    <t xml:space="preserve">Carburant &amp; usure camion/engins sur travaux (en % du CA travaux)</t>
  </si>
  <si>
    <t xml:space="preserve">Rémunération des associés</t>
  </si>
  <si>
    <t xml:space="preserve">Nombre d'associés rémunérés</t>
  </si>
  <si>
    <t xml:space="preserve">Donnée fournie : 2 associés à 50/50.</t>
  </si>
  <si>
    <t xml:space="preserve">Rémunération NETTE mensuelle par associé</t>
  </si>
  <si>
    <t xml:space="preserve">Hypothèse : vous ne vous verserez pas forcément de salaire au début → 1 000 € net/mois en A1 à partir du mois indiqué ci-dessous. Mettre 0 pour tester sans rémunération.</t>
  </si>
  <si>
    <t xml:space="preserve">Mois de début de la rémunération en année 1 (1 à 12)</t>
  </si>
  <si>
    <t xml:space="preserve">mois n°</t>
  </si>
  <si>
    <t xml:space="preserve">Hypothèse : pas de rémunération les 3 premiers mois.</t>
  </si>
  <si>
    <t xml:space="preserve">Cotisations sociales (en % de la rémunération nette)</t>
  </si>
  <si>
    <t xml:space="preserve">Hypothèse SARL avec gérance majoritaire (TNS) ≈ 45 %. En SAS (président assimilé salarié) compter ≈ 75–82 %. Voir la feuille « Lisez-moi ».</t>
  </si>
  <si>
    <t xml:space="preserve">Fiscalité</t>
  </si>
  <si>
    <t xml:space="preserve">Taux de TVA</t>
  </si>
  <si>
    <t xml:space="preserve">Taux normal.</t>
  </si>
  <si>
    <t xml:space="preserve">IS — taux réduit PME</t>
  </si>
  <si>
    <t xml:space="preserve">Taux réduit applicable jusqu'au plafond ci-dessous (capital entièrement libéré, détenu ≥ 75 % par des personnes physiques).</t>
  </si>
  <si>
    <t xml:space="preserve">IS — plafond du taux réduit</t>
  </si>
  <si>
    <t xml:space="preserve">Plafond du bénéfice imposable au taux réduit.</t>
  </si>
  <si>
    <t xml:space="preserve">IS — taux normal</t>
  </si>
  <si>
    <t xml:space="preserve">Mois de remboursement du crédit de TVA (0 = pas de demande)</t>
  </si>
  <si>
    <t xml:space="preserve">Hypothèse : demande de remboursement (formulaire 3519) après la 1re déclaration, remboursé le mois 3. Mettre 0 pour simple report.</t>
  </si>
  <si>
    <t xml:space="preserve">Crédit relais TVA sur investissements (1 = oui, 0 = non)</t>
  </si>
  <si>
    <t xml:space="preserve">Hypothèse : la banque préfinance la TVA des investissements ; le relais est soldé à réception du remboursement de TVA.</t>
  </si>
  <si>
    <t xml:space="preserve">Charges fixes annuelles (HT)</t>
  </si>
  <si>
    <t xml:space="preserve">Poste</t>
  </si>
  <si>
    <t xml:space="preserve">TVA ? (1/0)</t>
  </si>
  <si>
    <t xml:space="preserve">Commentaire</t>
  </si>
  <si>
    <t xml:space="preserve">Assurance RC pro + décennale (terrassement)</t>
  </si>
  <si>
    <t xml:space="preserve">Estimation — demander des devis (obligatoire pour les travaux).</t>
  </si>
  <si>
    <t xml:space="preserve">Assurance mini-pelle (bris de machine, vol)</t>
  </si>
  <si>
    <t xml:space="preserve">Assurance camion + remorque</t>
  </si>
  <si>
    <t xml:space="preserve">Entretien / réparations (forfait annuel)</t>
  </si>
  <si>
    <t xml:space="preserve">Matériel d'occasion : prévoir une enveloppe croissante.</t>
  </si>
  <si>
    <t xml:space="preserve">VGP mini-pelle + contrôle technique camion</t>
  </si>
  <si>
    <t xml:space="preserve">Vérification générale périodique obligatoire des engins.</t>
  </si>
  <si>
    <t xml:space="preserve">Expert-comptable</t>
  </si>
  <si>
    <t xml:space="preserve">Estimation — à ajuster avec la lettre de mission.</t>
  </si>
  <si>
    <t xml:space="preserve">Frais bancaires + terminal de paiement</t>
  </si>
  <si>
    <t xml:space="preserve">Téléphone / internet (2 lignes)</t>
  </si>
  <si>
    <t xml:space="preserve">Publicité, site internet, panneaux, annonces</t>
  </si>
  <si>
    <t xml:space="preserve">Lancement plus important en année 1.</t>
  </si>
  <si>
    <t xml:space="preserve">Petit outillage &amp; EPI</t>
  </si>
  <si>
    <t xml:space="preserve">Location dépôt / stockage du matériel</t>
  </si>
  <si>
    <t xml:space="preserve">À COMPLÉTER si le matériel n'est pas stocké chez un associé.</t>
  </si>
  <si>
    <t xml:space="preserve">Déplacements, péages</t>
  </si>
  <si>
    <t xml:space="preserve">Logiciel de facturation / devis</t>
  </si>
  <si>
    <t xml:space="preserve">CFE (cotisation foncière des entreprises)</t>
  </si>
  <si>
    <t xml:space="preserve">Exonérée l'année de création ; montant variable selon la commune.</t>
  </si>
  <si>
    <t xml:space="preserve">Divers &amp; imprévus</t>
  </si>
  <si>
    <t xml:space="preserve">Marge de sécurité.</t>
  </si>
  <si>
    <t xml:space="preserve">Total charges fixes externes</t>
  </si>
  <si>
    <t xml:space="preserve">PLAN DE FINANCEMENT INITIAL &amp; EMPRUNT</t>
  </si>
  <si>
    <t xml:space="preserve">Besoins (HT)</t>
  </si>
  <si>
    <t xml:space="preserve">Ressources</t>
  </si>
  <si>
    <t xml:space="preserve">Tableau d'amortissement mensuel</t>
  </si>
  <si>
    <t xml:space="preserve">Année</t>
  </si>
  <si>
    <t xml:space="preserve">Mois n°</t>
  </si>
  <si>
    <t xml:space="preserve">Capital début</t>
  </si>
  <si>
    <t xml:space="preserve">Intérêts</t>
  </si>
  <si>
    <t xml:space="preserve">Capital remb.</t>
  </si>
  <si>
    <t xml:space="preserve">Capital fin</t>
  </si>
  <si>
    <t xml:space="preserve">Camion benne</t>
  </si>
  <si>
    <t xml:space="preserve">Emprunt bancaire (solde à financer)</t>
  </si>
  <si>
    <t xml:space="preserve">Frais d'établissement</t>
  </si>
  <si>
    <t xml:space="preserve">Frais de dossier bancaire</t>
  </si>
  <si>
    <t xml:space="preserve">Trésorerie de départ</t>
  </si>
  <si>
    <t xml:space="preserve">TOTAL DES BESOINS</t>
  </si>
  <si>
    <t xml:space="preserve">TOTAL DES RESSOURCES</t>
  </si>
  <si>
    <t xml:space="preserve">TVA sur investissements à avancer (récupérée ensuite)</t>
  </si>
  <si>
    <t xml:space="preserve">Taux d'apport personnel</t>
  </si>
  <si>
    <t xml:space="preserve">Caractéristiques de l'emprunt</t>
  </si>
  <si>
    <t xml:space="preserve">Montant emprunté</t>
  </si>
  <si>
    <t xml:space="preserve">Taux annuel</t>
  </si>
  <si>
    <t xml:space="preserve">Durée (mois)</t>
  </si>
  <si>
    <t xml:space="preserve">Mensualité (capital + intérêts)</t>
  </si>
  <si>
    <t xml:space="preserve">Coût total du crédit (intérêts)</t>
  </si>
  <si>
    <t xml:space="preserve">Synthèse annuelle de l'emprunt</t>
  </si>
  <si>
    <t xml:space="preserve">Capital remboursé</t>
  </si>
  <si>
    <t xml:space="preserve">Capital restant dû fin</t>
  </si>
  <si>
    <t xml:space="preserve">Année 4</t>
  </si>
  <si>
    <t xml:space="preserve">Année 5</t>
  </si>
  <si>
    <t xml:space="preserve">Durée &gt; 60 mois : prolonger le tableau.</t>
  </si>
  <si>
    <t xml:space="preserve">TABLEAU DES AMORTISSEMENTS (linéaire, acquisition au 1er mois)</t>
  </si>
  <si>
    <t xml:space="preserve">Immobilisation</t>
  </si>
  <si>
    <t xml:space="preserve">Valeur HT</t>
  </si>
  <si>
    <t xml:space="preserve">Durée (ans)</t>
  </si>
  <si>
    <t xml:space="preserve">Dotation A1</t>
  </si>
  <si>
    <t xml:space="preserve">Dotation A2</t>
  </si>
  <si>
    <t xml:space="preserve">Dotation A3</t>
  </si>
  <si>
    <t xml:space="preserve">VNC fin A3</t>
  </si>
  <si>
    <t xml:space="preserve">TOTAL</t>
  </si>
  <si>
    <t xml:space="preserve">ACTIVITÉ MENSUELLE — ANNÉE 1</t>
  </si>
  <si>
    <t xml:space="preserve">Saisir en bleu le nombre de jours loués par mois (la saisonnalité TP est plus faible en hiver et en août).</t>
  </si>
  <si>
    <t xml:space="preserve">Mois</t>
  </si>
  <si>
    <t xml:space="preserve">Total A1</t>
  </si>
  <si>
    <t xml:space="preserve">Jours de location SANS opérateur</t>
  </si>
  <si>
    <t xml:space="preserve">Jours de location AVEC opérateur</t>
  </si>
  <si>
    <t xml:space="preserve">Total jours de location de la mini-pelle</t>
  </si>
  <si>
    <t xml:space="preserve">Taux d'utilisation (jours loués / jours ouvrés)</t>
  </si>
  <si>
    <t xml:space="preserve">CA location sans opérateur</t>
  </si>
  <si>
    <t xml:space="preserve">CA location avec opérateur</t>
  </si>
  <si>
    <t xml:space="preserve">CA LOCATION</t>
  </si>
  <si>
    <t xml:space="preserve">Saisonnalité des travaux annexes (% du CA annuel)</t>
  </si>
  <si>
    <t xml:space="preserve">CA TRAVAUX ANNEXES</t>
  </si>
  <si>
    <t xml:space="preserve">CHIFFRE D'AFFAIRES TOTAL HT</t>
  </si>
  <si>
    <t xml:space="preserve">Objectif location année 1 (donnée fournie)</t>
  </si>
  <si>
    <t xml:space="preserve">Écart CA location / objectif</t>
  </si>
  <si>
    <t xml:space="preserve">Point de vigilance : la mini-pelle sert aussi sur vos propres chantiers (travaux annexes). Les jours de chantier réduisent les jours disponibles à la location — surveiller le taux d'utilisation (ligne 8).</t>
  </si>
  <si>
    <t xml:space="preserve">COMPTE DE RÉSULTAT PRÉVISIONNEL (€ HT)</t>
  </si>
  <si>
    <t xml:space="preserve">PRODUITS</t>
  </si>
  <si>
    <t xml:space="preserve">A1 = feuille Activité ; A2/A3 = croissance.</t>
  </si>
  <si>
    <t xml:space="preserve">CHIFFRE D'AFFAIRES</t>
  </si>
  <si>
    <t xml:space="preserve">CHARGES VARIABLES</t>
  </si>
  <si>
    <t xml:space="preserve">Achats matériaux / fournitures (travaux)</t>
  </si>
  <si>
    <t xml:space="preserve">Carburant &amp; usure (location avec opérateur + travaux)</t>
  </si>
  <si>
    <t xml:space="preserve">Usure / entretien variable mini-pelle</t>
  </si>
  <si>
    <t xml:space="preserve">Total charges variables</t>
  </si>
  <si>
    <t xml:space="preserve">MARGE SUR COÛTS VARIABLES</t>
  </si>
  <si>
    <t xml:space="preserve">Taux de marge sur coûts variables</t>
  </si>
  <si>
    <t xml:space="preserve">CHARGES FIXES</t>
  </si>
  <si>
    <t xml:space="preserve">Charges externes fixes (assurances, comptable, entretien...)</t>
  </si>
  <si>
    <t xml:space="preserve">Détail dans la feuille Hypothèses.</t>
  </si>
  <si>
    <t xml:space="preserve">Rémunération nette des associés</t>
  </si>
  <si>
    <t xml:space="preserve">A1 : à partir du mois de début saisi dans les hypothèses.</t>
  </si>
  <si>
    <t xml:space="preserve">Cotisations sociales des dirigeants</t>
  </si>
  <si>
    <t xml:space="preserve">EXCÉDENT BRUT D'EXPLOITATION (EBE)</t>
  </si>
  <si>
    <t xml:space="preserve">Dotations aux amortissements</t>
  </si>
  <si>
    <t xml:space="preserve">RÉSULTAT D'EXPLOITATION</t>
  </si>
  <si>
    <t xml:space="preserve">Charges financières (intérêts + frais de dossier en A1)</t>
  </si>
  <si>
    <t xml:space="preserve">RÉSULTAT AVANT IMPÔT</t>
  </si>
  <si>
    <t xml:space="preserve">Base imposable à l'IS (après report des déficits)</t>
  </si>
  <si>
    <t xml:space="preserve">Impôt sur les sociétés</t>
  </si>
  <si>
    <t xml:space="preserve">Déficit reportable en fin d'année</t>
  </si>
  <si>
    <t xml:space="preserve">Info : déficits imputés sur les bénéfices suivants.</t>
  </si>
  <si>
    <t xml:space="preserve">RÉSULTAT NET</t>
  </si>
  <si>
    <t xml:space="preserve">Résultat net / CA</t>
  </si>
  <si>
    <t xml:space="preserve">CAPACITÉ D'AUTOFINANCEMENT</t>
  </si>
  <si>
    <t xml:space="preserve">CAF (résultat net + amortissements)</t>
  </si>
  <si>
    <t xml:space="preserve">Remboursement du capital de l'emprunt</t>
  </si>
  <si>
    <t xml:space="preserve">Trésorerie dégagée après remboursement</t>
  </si>
  <si>
    <t xml:space="preserve">Doit rester positive : c'est ce que la banque regarde en premier.</t>
  </si>
  <si>
    <t xml:space="preserve">Couverture des annuités (CAF / capital remboursé)</t>
  </si>
  <si>
    <t xml:space="preserve">PLAN DE TRÉSORERIE MENSUEL — ANNÉE 1 (montants TTC)</t>
  </si>
  <si>
    <t xml:space="preserve">Hypothèses : investissements et apports au mois 1 ; location payée comptant ; travaux encaissés à 30 jours (mois suivant) ; TVA sur les encaissements (prestations de services), déclarée mensuellement et payée le mois suivant ; TVA des investissements préfinancée par un crédit relais, soldé au remboursement du crédit de TVA ; IS de l'année 1 payé en année 2.</t>
  </si>
  <si>
    <t xml:space="preserve">ENCAISSEMENTS</t>
  </si>
  <si>
    <t xml:space="preserve">Apport en capital</t>
  </si>
  <si>
    <t xml:space="preserve">Déblocage de l'emprunt + crédit relais TVA</t>
  </si>
  <si>
    <t xml:space="preserve">Encaissements location (TTC)</t>
  </si>
  <si>
    <t xml:space="preserve">Encaissements travaux (TTC, à 30 jours)</t>
  </si>
  <si>
    <t xml:space="preserve">TOTAL ENCAISSEMENTS</t>
  </si>
  <si>
    <t xml:space="preserve">DÉCAISSEMENTS</t>
  </si>
  <si>
    <t xml:space="preserve">Investissements (TTC)</t>
  </si>
  <si>
    <t xml:space="preserve">Frais d'établissement + frais de dossier</t>
  </si>
  <si>
    <t xml:space="preserve">Achats matériaux travaux (TTC)</t>
  </si>
  <si>
    <t xml:space="preserve">Carburant &amp; usure (TTC)</t>
  </si>
  <si>
    <t xml:space="preserve">Charges fixes externes (TTC, lissées sur 12 mois)</t>
  </si>
  <si>
    <t xml:space="preserve">Rémunérations nettes des associés</t>
  </si>
  <si>
    <t xml:space="preserve">Mensualité d'emprunt (+ remboursement du relais TVA)</t>
  </si>
  <si>
    <t xml:space="preserve">TVA reversée (+) / remboursement du crédit de TVA (−)</t>
  </si>
  <si>
    <t xml:space="preserve">TOTAL DÉCAISSEMENTS</t>
  </si>
  <si>
    <t xml:space="preserve">SOLDE DU MOIS</t>
  </si>
  <si>
    <t xml:space="preserve">TRÉSORERIE FIN DE MOIS</t>
  </si>
  <si>
    <t xml:space="preserve">CALCUL DE LA TVA</t>
  </si>
  <si>
    <t xml:space="preserve">TVA collectée (sur encaissements)</t>
  </si>
  <si>
    <t xml:space="preserve">TVA déductible</t>
  </si>
  <si>
    <t xml:space="preserve">TVA à payer (versée le mois suivant)</t>
  </si>
  <si>
    <t xml:space="preserve">Crédit de TVA reporté en fin de mois</t>
  </si>
  <si>
    <t xml:space="preserve">Trésorerie minimale sur l'année 1</t>
  </si>
  <si>
    <t xml:space="preserve">TVA de décembre restant à payer en janvier A2 / crédit de TVA restant (remboursable sur demande)</t>
  </si>
  <si>
    <t xml:space="preserve">Astuce : le crédit de TVA lié aux investissements peut faire l'objet d'une demande de remboursement auprès des impôts (formulaire 3519) pour soulager la trésorerie.</t>
  </si>
  <si>
    <t xml:space="preserve">RENTABILITÉ DE LA MINI-PELLE &amp; SEUIL DE RENTABILITÉ (année 1)</t>
  </si>
  <si>
    <t xml:space="preserve">Répond à la question : combien de jours de location par mois faut-il pour rentabiliser les achats ?</t>
  </si>
  <si>
    <t xml:space="preserve">Coût annuel de possession de la mini-pelle</t>
  </si>
  <si>
    <t xml:space="preserve">€ / an</t>
  </si>
  <si>
    <t xml:space="preserve">Amortissement de la mini-pelle</t>
  </si>
  <si>
    <t xml:space="preserve">Feuille Amortissements.</t>
  </si>
  <si>
    <t xml:space="preserve">Intérêts d'emprunt (quote-part mini-pelle)</t>
  </si>
  <si>
    <t xml:space="preserve">Au prorata du prix de la pelle dans les besoins.</t>
  </si>
  <si>
    <t xml:space="preserve">Assurance mini-pelle</t>
  </si>
  <si>
    <t xml:space="preserve">VGP / contrôles</t>
  </si>
  <si>
    <t xml:space="preserve">Entretien forfaitaire (50 % du forfait annuel)</t>
  </si>
  <si>
    <t xml:space="preserve">Hypothèse : la moitié du forfait entretien concerne la pelle.</t>
  </si>
  <si>
    <t xml:space="preserve">Coût total de possession de la mini-pelle / an</t>
  </si>
  <si>
    <t xml:space="preserve">Soit par mois</t>
  </si>
  <si>
    <t xml:space="preserve">Marge dégagée par jour de location</t>
  </si>
  <si>
    <t xml:space="preserve">Sans opérateur</t>
  </si>
  <si>
    <t xml:space="preserve">Avec opérateur</t>
  </si>
  <si>
    <t xml:space="preserve">Prix de vente HT / jour</t>
  </si>
  <si>
    <t xml:space="preserve">− Carburant</t>
  </si>
  <si>
    <t xml:space="preserve">En location sèche, le carburant est à la charge du client.</t>
  </si>
  <si>
    <t xml:space="preserve">− Usure / entretien variable</t>
  </si>
  <si>
    <t xml:space="preserve">− Temps de l'opérateur</t>
  </si>
  <si>
    <t xml:space="preserve">Non déduit ici : l'opérateur est un associé, sa rémunération est une charge fixe.</t>
  </si>
  <si>
    <t xml:space="preserve">Marge sur coût variable par jour</t>
  </si>
  <si>
    <t xml:space="preserve">Nombre de jours de location nécessaires PAR MOIS pour couvrir…</t>
  </si>
  <si>
    <t xml:space="preserve">…le seul coût de possession de la mini-pelle</t>
  </si>
  <si>
    <t xml:space="preserve">Ce que la pelle doit rapporter pour « se payer » elle-même.</t>
  </si>
  <si>
    <t xml:space="preserve">…la mensualité totale de l'emprunt + assurances/entretien pelle</t>
  </si>
  <si>
    <t xml:space="preserve">Vision trésorerie : la location rembourse tout le crédit (pelle + camion + remorque).</t>
  </si>
  <si>
    <t xml:space="preserve">…toutes les charges fixes de la société (hors rémunérations)</t>
  </si>
  <si>
    <t xml:space="preserve">Hypothèse extrême : aucun CA travaux, la location porte toute la structure.</t>
  </si>
  <si>
    <t xml:space="preserve">…toutes les charges fixes, rémunérations des associés comprises</t>
  </si>
  <si>
    <t xml:space="preserve">Idem, en payant les associés selon les hypothèses de l'année 1.</t>
  </si>
  <si>
    <t xml:space="preserve">Pour comparaison : jours loués prévus en moyenne par mois (feuille Activité)</t>
  </si>
  <si>
    <t xml:space="preserve">Jours de location / mois pour atteindre 65 000 € de CA location avec un seul type de location</t>
  </si>
  <si>
    <t xml:space="preserve">Seuil de rentabilité global (année 1)</t>
  </si>
  <si>
    <t xml:space="preserve">Charges fixes totales (externes, frais d'établissement, rémunérations, cotisations, amortissements, intérêts)</t>
  </si>
  <si>
    <t xml:space="preserve">SEUIL DE RENTABILITÉ (CA HT minimum pour résultat = 0)</t>
  </si>
  <si>
    <t xml:space="preserve">CA prévisionnel année 1</t>
  </si>
  <si>
    <t xml:space="preserve">Marge de sécurité (CA prévu − seuil) / CA prévu</t>
  </si>
  <si>
    <t xml:space="preserve">Point mort : mois où le seuil est atteint (CA supposé régulier)</t>
  </si>
  <si>
    <t xml:space="preserve">Sensibilité : résultat avant impôt A1 selon le niveau d'activité</t>
  </si>
  <si>
    <t xml:space="preserve">% du CA prévu</t>
  </si>
  <si>
    <t xml:space="preserve">Résultat avant IS</t>
  </si>
  <si>
    <t xml:space="preserve">Scénario 60 %</t>
  </si>
  <si>
    <t xml:space="preserve">Scénario 70 %</t>
  </si>
  <si>
    <t xml:space="preserve">Scénario 80 %</t>
  </si>
  <si>
    <t xml:space="preserve">Scénario 90 %</t>
  </si>
  <si>
    <t xml:space="preserve">Scénario 100 % (prévisionnel)</t>
  </si>
  <si>
    <t xml:space="preserve">Scénario 110 %</t>
  </si>
  <si>
    <t xml:space="preserve">Scénario 120 %</t>
  </si>
  <si>
    <t xml:space="preserve">Hypothèse simplifiée : charges variables proportionnelles au CA, charges fixes inchangées.</t>
  </si>
</sst>
</file>

<file path=xl/styles.xml><?xml version="1.0" encoding="utf-8"?>
<styleSheet xmlns="http://schemas.openxmlformats.org/spreadsheetml/2006/main">
  <numFmts count="12">
    <numFmt numFmtId="164" formatCode="General"/>
    <numFmt numFmtId="165" formatCode="#,##0&quot; €&quot;;\(#,##0&quot; €)&quot;;\-"/>
    <numFmt numFmtId="166" formatCode="#,##0.0;\(#,##0.0\);\-"/>
    <numFmt numFmtId="167" formatCode="0.0%;\(0.0%\);\-"/>
    <numFmt numFmtId="168" formatCode="#,##0"/>
    <numFmt numFmtId="169" formatCode="mm/yyyy"/>
    <numFmt numFmtId="170" formatCode="#,##0;\(#,##0\);\-"/>
    <numFmt numFmtId="171" formatCode="0"/>
    <numFmt numFmtId="172" formatCode="#,##0.00&quot; €&quot;;\(#,##0.00&quot; €)&quot;;\-"/>
    <numFmt numFmtId="173" formatCode="mmm\-yy"/>
    <numFmt numFmtId="174" formatCode="0.00\x"/>
    <numFmt numFmtId="175" formatCode="0.0&quot; mois&quot;"/>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sz val="10"/>
      <color rgb="FF008000"/>
      <name val="Arial"/>
      <family val="0"/>
      <charset val="1"/>
    </font>
    <font>
      <b val="true"/>
      <sz val="10"/>
      <name val="Arial"/>
      <family val="0"/>
      <charset val="1"/>
    </font>
    <font>
      <b val="true"/>
      <sz val="10"/>
      <color rgb="FF008000"/>
      <name val="Arial"/>
      <family val="0"/>
      <charset val="1"/>
    </font>
    <font>
      <b val="true"/>
      <sz val="18"/>
      <color rgb="FF000000"/>
      <name val="Calibri"/>
      <family val="2"/>
    </font>
    <font>
      <sz val="10"/>
      <color rgb="FF000000"/>
      <name val="Calibri"/>
      <family val="2"/>
    </font>
    <font>
      <sz val="10"/>
      <color rgb="FF0000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1F2"/>
        <bgColor rgb="FFD9D9D9"/>
      </patternFill>
    </fill>
    <fill>
      <patternFill patternType="solid">
        <fgColor rgb="FFFFFF00"/>
        <bgColor rgb="FFFFFF00"/>
      </patternFill>
    </fill>
    <fill>
      <patternFill patternType="solid">
        <fgColor rgb="FFF2F2F2"/>
        <bgColor rgb="FFF9F9F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9" fontId="13" fillId="4"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5" fontId="13" fillId="4"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13" fillId="4"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70" fontId="13" fillId="4" borderId="0" xfId="0" applyFont="true" applyBorder="false" applyAlignment="false" applyProtection="false">
      <alignment horizontal="general" vertical="bottom" textRotation="0" wrapText="false" indent="0" shrinkToFit="false"/>
      <protection locked="true" hidden="false"/>
    </xf>
    <xf numFmtId="171" fontId="13" fillId="4"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5" fontId="9" fillId="5"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5" fontId="9" fillId="4"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2" fontId="9"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73" fontId="6" fillId="2" borderId="0" xfId="0" applyFont="true" applyBorder="false" applyAlignment="true" applyProtection="false">
      <alignment horizontal="center" vertical="center" textRotation="0" wrapText="true" indent="0" shrinkToFit="false"/>
      <protection locked="true" hidden="false"/>
    </xf>
    <xf numFmtId="170" fontId="9" fillId="5"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9" fillId="5"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9F9F9"/>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 et résultat net (€ HT)</a:t>
            </a:r>
          </a:p>
        </c:rich>
      </c:tx>
      <c:overlay val="0"/>
      <c:spPr>
        <a:noFill/>
        <a:ln w="0">
          <a:noFill/>
        </a:ln>
      </c:spPr>
    </c:title>
    <c:autoTitleDeleted val="0"/>
    <c:plotArea>
      <c:barChart>
        <c:barDir val="col"/>
        <c:grouping val="clustered"/>
        <c:varyColors val="0"/>
        <c:ser>
          <c:idx val="0"/>
          <c:order val="0"/>
          <c:tx>
            <c:strRef>
              <c:f>"Chiffre d'affaires"</c:f>
              <c:strCache>
                <c:ptCount val="1"/>
                <c:pt idx="0">
                  <c:v>Chiffre d'affaires</c:v>
                </c:pt>
              </c:strCache>
            </c:strRef>
          </c:tx>
          <c:spPr>
            <a:solidFill>
              <a:srgbClr val="1f3864"/>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Synthèse!$B$10:$D$10</c:f>
              <c:multiLvlStrCache>
                <c:ptCount val="1"/>
                <c:lvl>
                  <c:pt idx="0">
                    <c:v>Année 3</c:v>
                  </c:pt>
                </c:lvl>
                <c:lvl>
                  <c:pt idx="0">
                    <c:v>Année 2</c:v>
                  </c:pt>
                </c:lvl>
                <c:lvl>
                  <c:pt idx="0">
                    <c:v>Année 1</c:v>
                  </c:pt>
                </c:lvl>
              </c:multiLvlStrCache>
            </c:multiLvlStrRef>
          </c:cat>
          <c:val>
            <c:numRef>
              <c:f>Synthèse!$B$13:$D$13</c:f>
              <c:numCache>
                <c:formatCode>#,##0" €";\(#,##0" €)";\-</c:formatCode>
                <c:ptCount val="3"/>
                <c:pt idx="0">
                  <c:v>130510</c:v>
                </c:pt>
                <c:pt idx="1">
                  <c:v>150086.5</c:v>
                </c:pt>
                <c:pt idx="2">
                  <c:v>165095.15</c:v>
                </c:pt>
              </c:numCache>
            </c:numRef>
          </c:val>
        </c:ser>
        <c:ser>
          <c:idx val="1"/>
          <c:order val="1"/>
          <c:tx>
            <c:strRef>
              <c:f>"Résultat net"</c:f>
              <c:strCache>
                <c:ptCount val="1"/>
                <c:pt idx="0">
                  <c:v>Résultat net</c:v>
                </c:pt>
              </c:strCache>
            </c:strRef>
          </c:tx>
          <c:spPr>
            <a:solidFill>
              <a:srgbClr val="70ad47"/>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Synthèse!$B$10:$D$10</c:f>
              <c:multiLvlStrCache>
                <c:ptCount val="1"/>
                <c:lvl>
                  <c:pt idx="0">
                    <c:v>Année 3</c:v>
                  </c:pt>
                </c:lvl>
                <c:lvl>
                  <c:pt idx="0">
                    <c:v>Année 2</c:v>
                  </c:pt>
                </c:lvl>
                <c:lvl>
                  <c:pt idx="0">
                    <c:v>Année 1</c:v>
                  </c:pt>
                </c:lvl>
              </c:multiLvlStrCache>
            </c:multiLvlStrRef>
          </c:cat>
          <c:val>
            <c:numRef>
              <c:f>Synthèse!$B$15:$D$15</c:f>
              <c:numCache>
                <c:formatCode>#,##0" €";\(#,##0" €)";\-</c:formatCode>
                <c:ptCount val="3"/>
                <c:pt idx="0">
                  <c:v>37190.0352749747</c:v>
                </c:pt>
                <c:pt idx="1">
                  <c:v>29811.4836291015</c:v>
                </c:pt>
                <c:pt idx="2">
                  <c:v>25160.9237401913</c:v>
                </c:pt>
              </c:numCache>
            </c:numRef>
          </c:val>
        </c:ser>
        <c:gapWidth val="150"/>
        <c:overlap val="0"/>
        <c:axId val="26149553"/>
        <c:axId val="23936754"/>
      </c:barChart>
      <c:catAx>
        <c:axId val="261495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936754"/>
        <c:crosses val="autoZero"/>
        <c:auto val="1"/>
        <c:lblAlgn val="ctr"/>
        <c:lblOffset val="100"/>
        <c:noMultiLvlLbl val="0"/>
      </c:catAx>
      <c:valAx>
        <c:axId val="23936754"/>
        <c:scaling>
          <c:orientation val="minMax"/>
        </c:scaling>
        <c:delete val="0"/>
        <c:axPos val="l"/>
        <c:majorGridlines>
          <c:spPr>
            <a:ln w="9360">
              <a:solidFill>
                <a:srgbClr val="878787"/>
              </a:solidFill>
              <a:round/>
            </a:ln>
          </c:spPr>
        </c:majorGridlines>
        <c:numFmt formatCode="#,##0&quot; €&quot;;\(#,##0&quot; €)&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14955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Trésorerie fin de mois — année 1 (€)</a:t>
            </a:r>
          </a:p>
        </c:rich>
      </c:tx>
      <c:overlay val="0"/>
      <c:spPr>
        <a:noFill/>
        <a:ln w="0">
          <a:noFill/>
        </a:ln>
      </c:spPr>
    </c:title>
    <c:autoTitleDeleted val="0"/>
    <c:plotArea>
      <c:lineChart>
        <c:grouping val="standard"/>
        <c:varyColors val="0"/>
        <c:ser>
          <c:idx val="0"/>
          <c:order val="0"/>
          <c:tx>
            <c:strRef>
              <c:f>"Trésorerie"</c:f>
              <c:strCache>
                <c:ptCount val="1"/>
                <c:pt idx="0">
                  <c:v>Trésorerie</c:v>
                </c:pt>
              </c:strCache>
            </c:strRef>
          </c:tx>
          <c:spPr>
            <a:solidFill>
              <a:srgbClr val="1f3864"/>
            </a:solidFill>
            <a:ln w="28440">
              <a:solidFill>
                <a:srgbClr val="1f386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'Trésorerie A1'!$B$4:$M$4</c:f>
              <c:multiLvlStrCache>
                <c:ptCount val="1"/>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multiLvlStrCache>
            </c:multiLvlStrRef>
          </c:cat>
          <c:val>
            <c:numRef>
              <c:f>'Trésorerie A1'!$B$26:$M$26</c:f>
              <c:numCache>
                <c:formatCode>#,##0" €";\(#,##0" €)";\-</c:formatCode>
                <c:ptCount val="12"/>
                <c:pt idx="0">
                  <c:v>4199.71139529049</c:v>
                </c:pt>
                <c:pt idx="1">
                  <c:v>7414.62279058098</c:v>
                </c:pt>
                <c:pt idx="2">
                  <c:v>11143.0008525381</c:v>
                </c:pt>
                <c:pt idx="3">
                  <c:v>15137.645581162</c:v>
                </c:pt>
                <c:pt idx="4">
                  <c:v>21321.8903097858</c:v>
                </c:pt>
                <c:pt idx="5">
                  <c:v>27050.1350384096</c:v>
                </c:pt>
                <c:pt idx="6">
                  <c:v>31883.1797670334</c:v>
                </c:pt>
                <c:pt idx="7">
                  <c:v>34532.6244956573</c:v>
                </c:pt>
                <c:pt idx="8">
                  <c:v>36618.0692242811</c:v>
                </c:pt>
                <c:pt idx="9">
                  <c:v>43542.3139529049</c:v>
                </c:pt>
                <c:pt idx="10">
                  <c:v>47572.1586815287</c:v>
                </c:pt>
                <c:pt idx="11">
                  <c:v>49175.2034101526</c:v>
                </c:pt>
              </c:numCache>
            </c:numRef>
          </c:val>
          <c:smooth val="1"/>
        </c:ser>
        <c:hiLowLines>
          <c:spPr>
            <a:ln w="0">
              <a:noFill/>
            </a:ln>
          </c:spPr>
        </c:hiLowLines>
        <c:marker val="0"/>
        <c:axId val="39997485"/>
        <c:axId val="2414231"/>
      </c:lineChart>
      <c:catAx>
        <c:axId val="39997485"/>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14231"/>
        <c:crosses val="autoZero"/>
        <c:auto val="1"/>
        <c:lblAlgn val="ctr"/>
        <c:lblOffset val="100"/>
        <c:noMultiLvlLbl val="0"/>
      </c:catAx>
      <c:valAx>
        <c:axId val="241423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99748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160920</xdr:rowOff>
    </xdr:from>
    <xdr:to>
      <xdr:col>11</xdr:col>
      <xdr:colOff>486720</xdr:colOff>
      <xdr:row>17</xdr:row>
      <xdr:rowOff>2880</xdr:rowOff>
    </xdr:to>
    <xdr:graphicFrame>
      <xdr:nvGraphicFramePr>
        <xdr:cNvPr id="0" name="Chart 1"/>
        <xdr:cNvGraphicFramePr/>
      </xdr:nvGraphicFramePr>
      <xdr:xfrm>
        <a:off x="9204480" y="571680"/>
        <a:ext cx="50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18</xdr:row>
      <xdr:rowOff>160560</xdr:rowOff>
    </xdr:from>
    <xdr:to>
      <xdr:col>11</xdr:col>
      <xdr:colOff>486720</xdr:colOff>
      <xdr:row>33</xdr:row>
      <xdr:rowOff>2880</xdr:rowOff>
    </xdr:to>
    <xdr:graphicFrame>
      <xdr:nvGraphicFramePr>
        <xdr:cNvPr id="1" name="Chart 2"/>
        <xdr:cNvGraphicFramePr/>
      </xdr:nvGraphicFramePr>
      <xdr:xfrm>
        <a:off x="9204480" y="3619440"/>
        <a:ext cx="503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4" min="2" style="0" width="1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5" t="n">
        <f aca="false">Financement!$B$11</f>
        <v>67200</v>
      </c>
    </row>
    <row r="6" customFormat="false" ht="15" hidden="false" customHeight="false" outlineLevel="0" collapsed="false">
      <c r="A6" s="4" t="s">
        <v>5</v>
      </c>
      <c r="B6" s="5" t="n">
        <f aca="false">Financement!$E$4+Financement!$E$5</f>
        <v>11000</v>
      </c>
    </row>
    <row r="7" customFormat="false" ht="15" hidden="false" customHeight="false" outlineLevel="0" collapsed="false">
      <c r="A7" s="4" t="s">
        <v>6</v>
      </c>
      <c r="B7" s="5" t="n">
        <f aca="false">Financement!$E$6</f>
        <v>56200</v>
      </c>
    </row>
    <row r="8" customFormat="false" ht="15" hidden="false" customHeight="false" outlineLevel="0" collapsed="false">
      <c r="A8" s="4" t="s">
        <v>7</v>
      </c>
      <c r="B8" s="5" t="n">
        <f aca="false">Financement!$B$18</f>
        <v>1040.08860470951</v>
      </c>
    </row>
    <row r="10" customFormat="false" ht="15" hidden="false" customHeight="false" outlineLevel="0" collapsed="false">
      <c r="A10" s="3" t="s">
        <v>8</v>
      </c>
      <c r="B10" s="3" t="s">
        <v>9</v>
      </c>
      <c r="C10" s="3" t="s">
        <v>10</v>
      </c>
      <c r="D10" s="3" t="s">
        <v>11</v>
      </c>
    </row>
    <row r="11" customFormat="false" ht="15" hidden="false" customHeight="false" outlineLevel="0" collapsed="false">
      <c r="A11" s="4" t="s">
        <v>12</v>
      </c>
      <c r="B11" s="5" t="n">
        <f aca="false">'Compte de résultat'!$B$5</f>
        <v>65510</v>
      </c>
      <c r="C11" s="5" t="n">
        <f aca="false">'Compte de résultat'!$C$5</f>
        <v>75336.5</v>
      </c>
      <c r="D11" s="5" t="n">
        <f aca="false">'Compte de résultat'!$D$5</f>
        <v>82870.15</v>
      </c>
    </row>
    <row r="12" customFormat="false" ht="15" hidden="false" customHeight="false" outlineLevel="0" collapsed="false">
      <c r="A12" s="4" t="s">
        <v>13</v>
      </c>
      <c r="B12" s="5" t="n">
        <f aca="false">'Compte de résultat'!$B$6</f>
        <v>65000</v>
      </c>
      <c r="C12" s="5" t="n">
        <f aca="false">'Compte de résultat'!$C$6</f>
        <v>74750</v>
      </c>
      <c r="D12" s="5" t="n">
        <f aca="false">'Compte de résultat'!$D$6</f>
        <v>82225</v>
      </c>
    </row>
    <row r="13" customFormat="false" ht="15" hidden="false" customHeight="false" outlineLevel="0" collapsed="false">
      <c r="A13" s="6" t="s">
        <v>14</v>
      </c>
      <c r="B13" s="7" t="n">
        <f aca="false">'Compte de résultat'!$B$7</f>
        <v>130510</v>
      </c>
      <c r="C13" s="7" t="n">
        <f aca="false">'Compte de résultat'!$C$7</f>
        <v>150086.5</v>
      </c>
      <c r="D13" s="7" t="n">
        <f aca="false">'Compte de résultat'!$D$7</f>
        <v>165095.15</v>
      </c>
    </row>
    <row r="14" customFormat="false" ht="15" hidden="false" customHeight="false" outlineLevel="0" collapsed="false">
      <c r="A14" s="4" t="s">
        <v>15</v>
      </c>
      <c r="B14" s="5" t="n">
        <f aca="false">'Compte de résultat'!$B$22</f>
        <v>59350</v>
      </c>
      <c r="C14" s="5" t="n">
        <f aca="false">'Compte de résultat'!$C$22</f>
        <v>49560.5</v>
      </c>
      <c r="D14" s="5" t="n">
        <f aca="false">'Compte de résultat'!$D$22</f>
        <v>43628.55</v>
      </c>
    </row>
    <row r="15" customFormat="false" ht="15" hidden="false" customHeight="false" outlineLevel="0" collapsed="false">
      <c r="A15" s="6" t="s">
        <v>16</v>
      </c>
      <c r="B15" s="7" t="n">
        <f aca="false">'Compte de résultat'!$B$30</f>
        <v>37190.0352749747</v>
      </c>
      <c r="C15" s="7" t="n">
        <f aca="false">'Compte de résultat'!$C$30</f>
        <v>29811.4836291015</v>
      </c>
      <c r="D15" s="7" t="n">
        <f aca="false">'Compte de résultat'!$D$30</f>
        <v>25160.9237401913</v>
      </c>
    </row>
    <row r="16" customFormat="false" ht="15" hidden="false" customHeight="false" outlineLevel="0" collapsed="false">
      <c r="A16" s="4" t="s">
        <v>17</v>
      </c>
      <c r="B16" s="5" t="n">
        <f aca="false">'Compte de résultat'!$B$20</f>
        <v>18000</v>
      </c>
      <c r="C16" s="5" t="n">
        <f aca="false">'Compte de résultat'!$C$20</f>
        <v>36000</v>
      </c>
      <c r="D16" s="5" t="n">
        <f aca="false">'Compte de résultat'!$D$20</f>
        <v>48000</v>
      </c>
    </row>
    <row r="17" customFormat="false" ht="15" hidden="false" customHeight="false" outlineLevel="0" collapsed="false">
      <c r="A17" s="4" t="s">
        <v>18</v>
      </c>
      <c r="B17" s="5" t="n">
        <f aca="false">'Compte de résultat'!$B$34</f>
        <v>49956.7019416413</v>
      </c>
      <c r="C17" s="5" t="n">
        <f aca="false">'Compte de résultat'!$C$34</f>
        <v>42578.1502957681</v>
      </c>
      <c r="D17" s="5" t="n">
        <f aca="false">'Compte de résultat'!$D$34</f>
        <v>37927.590406858</v>
      </c>
    </row>
    <row r="18" customFormat="false" ht="15" hidden="false" customHeight="false" outlineLevel="0" collapsed="false">
      <c r="A18" s="4" t="s">
        <v>19</v>
      </c>
      <c r="B18" s="5" t="n">
        <f aca="false">'Compte de résultat'!$B$36</f>
        <v>39638.924985161</v>
      </c>
      <c r="C18" s="5" t="n">
        <f aca="false">'Compte de résultat'!$C$36</f>
        <v>31818.5866912915</v>
      </c>
      <c r="D18" s="5" t="n">
        <f aca="false">'Compte de résultat'!$D$36</f>
        <v>26707.323730511</v>
      </c>
    </row>
    <row r="20" customFormat="false" ht="15" hidden="false" customHeight="false" outlineLevel="0" collapsed="false">
      <c r="A20" s="3" t="s">
        <v>20</v>
      </c>
      <c r="B20" s="3" t="s">
        <v>21</v>
      </c>
    </row>
    <row r="21" customFormat="false" ht="15" hidden="false" customHeight="false" outlineLevel="0" collapsed="false">
      <c r="A21" s="4" t="s">
        <v>22</v>
      </c>
      <c r="B21" s="8" t="n">
        <f aca="false">'Activité A1'!$N$7/12</f>
        <v>12.0833333333333</v>
      </c>
    </row>
    <row r="22" customFormat="false" ht="15" hidden="false" customHeight="false" outlineLevel="0" collapsed="false">
      <c r="A22" s="4" t="s">
        <v>23</v>
      </c>
      <c r="B22" s="9" t="n">
        <f aca="false">'Activité A1'!$N$8</f>
        <v>0.575396825396825</v>
      </c>
    </row>
    <row r="23" customFormat="false" ht="15" hidden="false" customHeight="false" outlineLevel="0" collapsed="false">
      <c r="A23" s="4" t="s">
        <v>24</v>
      </c>
      <c r="B23" s="5" t="n">
        <f aca="false">'Rentabilité &amp; seuil'!$B$31</f>
        <v>75431.6360304033</v>
      </c>
    </row>
    <row r="24" customFormat="false" ht="15" hidden="false" customHeight="false" outlineLevel="0" collapsed="false">
      <c r="A24" s="4" t="s">
        <v>25</v>
      </c>
      <c r="B24" s="5" t="n">
        <f aca="false">'Trésorerie A1'!$N$34</f>
        <v>4199.71139529049</v>
      </c>
    </row>
    <row r="25" customFormat="false" ht="15" hidden="false" customHeight="false" outlineLevel="0" collapsed="false">
      <c r="A25" s="4" t="s">
        <v>26</v>
      </c>
      <c r="B25" s="5" t="n">
        <f aca="false">'Trésorerie A1'!$N$26</f>
        <v>49175.2034101526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0"/>
  </cols>
  <sheetData>
    <row r="1" customFormat="false" ht="17.35" hidden="false" customHeight="false" outlineLevel="0" collapsed="false">
      <c r="A1" s="10" t="s">
        <v>27</v>
      </c>
    </row>
    <row r="2" customFormat="false" ht="15" hidden="false" customHeight="false" outlineLevel="0" collapsed="false">
      <c r="A2" s="11"/>
    </row>
    <row r="3" customFormat="false" ht="15" hidden="false" customHeight="false" outlineLevel="0" collapsed="false">
      <c r="A3" s="12" t="s">
        <v>28</v>
      </c>
    </row>
    <row r="4" customFormat="false" ht="23.85" hidden="false" customHeight="false" outlineLevel="0" collapsed="false">
      <c r="A4" s="11" t="s">
        <v>29</v>
      </c>
    </row>
    <row r="5" customFormat="false" ht="23.85" hidden="false" customHeight="false" outlineLevel="0" collapsed="false">
      <c r="A5" s="11" t="s">
        <v>30</v>
      </c>
    </row>
    <row r="6" customFormat="false" ht="23.85" hidden="false" customHeight="false" outlineLevel="0" collapsed="false">
      <c r="A6" s="11" t="s">
        <v>31</v>
      </c>
    </row>
    <row r="7" customFormat="false" ht="23.85" hidden="false" customHeight="false" outlineLevel="0" collapsed="false">
      <c r="A7" s="11" t="s">
        <v>32</v>
      </c>
    </row>
    <row r="8" customFormat="false" ht="23.85" hidden="false" customHeight="false" outlineLevel="0" collapsed="false">
      <c r="A8" s="11" t="s">
        <v>33</v>
      </c>
    </row>
    <row r="9" customFormat="false" ht="15" hidden="false" customHeight="false" outlineLevel="0" collapsed="false">
      <c r="A9" s="11" t="s">
        <v>34</v>
      </c>
    </row>
    <row r="10" customFormat="false" ht="15" hidden="false" customHeight="false" outlineLevel="0" collapsed="false">
      <c r="A10" s="11" t="s">
        <v>35</v>
      </c>
    </row>
    <row r="11" customFormat="false" ht="15" hidden="false" customHeight="false" outlineLevel="0" collapsed="false">
      <c r="A11" s="11" t="s">
        <v>36</v>
      </c>
    </row>
    <row r="12" customFormat="false" ht="15" hidden="false" customHeight="false" outlineLevel="0" collapsed="false">
      <c r="A12" s="11"/>
    </row>
    <row r="13" customFormat="false" ht="15" hidden="false" customHeight="false" outlineLevel="0" collapsed="false">
      <c r="A13" s="12" t="s">
        <v>37</v>
      </c>
    </row>
    <row r="14" customFormat="false" ht="15" hidden="false" customHeight="false" outlineLevel="0" collapsed="false">
      <c r="A14" s="11" t="s">
        <v>38</v>
      </c>
    </row>
    <row r="15" customFormat="false" ht="15" hidden="false" customHeight="false" outlineLevel="0" collapsed="false">
      <c r="A15" s="11" t="s">
        <v>39</v>
      </c>
    </row>
    <row r="16" customFormat="false" ht="15" hidden="false" customHeight="false" outlineLevel="0" collapsed="false">
      <c r="A16" s="11" t="s">
        <v>40</v>
      </c>
    </row>
    <row r="17" customFormat="false" ht="15" hidden="false" customHeight="false" outlineLevel="0" collapsed="false">
      <c r="A17" s="11" t="s">
        <v>41</v>
      </c>
    </row>
    <row r="18" customFormat="false" ht="15" hidden="false" customHeight="false" outlineLevel="0" collapsed="false">
      <c r="A18" s="11"/>
    </row>
    <row r="19" customFormat="false" ht="15" hidden="false" customHeight="false" outlineLevel="0" collapsed="false">
      <c r="A19" s="12" t="s">
        <v>42</v>
      </c>
    </row>
    <row r="20" customFormat="false" ht="15" hidden="false" customHeight="false" outlineLevel="0" collapsed="false">
      <c r="A20" s="11" t="s">
        <v>43</v>
      </c>
    </row>
    <row r="21" customFormat="false" ht="15" hidden="false" customHeight="false" outlineLevel="0" collapsed="false">
      <c r="A21" s="11" t="s">
        <v>44</v>
      </c>
    </row>
    <row r="22" customFormat="false" ht="15" hidden="false" customHeight="false" outlineLevel="0" collapsed="false">
      <c r="A22" s="11" t="s">
        <v>45</v>
      </c>
    </row>
    <row r="23" customFormat="false" ht="15" hidden="false" customHeight="false" outlineLevel="0" collapsed="false">
      <c r="A23" s="11" t="s">
        <v>46</v>
      </c>
    </row>
    <row r="24" customFormat="false" ht="23.85" hidden="false" customHeight="false" outlineLevel="0" collapsed="false">
      <c r="A24" s="11" t="s">
        <v>47</v>
      </c>
    </row>
    <row r="25" customFormat="false" ht="15" hidden="false" customHeight="false" outlineLevel="0" collapsed="false">
      <c r="A25" s="11" t="s">
        <v>48</v>
      </c>
    </row>
    <row r="26" customFormat="false" ht="15" hidden="false" customHeight="false" outlineLevel="0" collapsed="false">
      <c r="A26" s="11"/>
    </row>
    <row r="27" customFormat="false" ht="15" hidden="false" customHeight="false" outlineLevel="0" collapsed="false">
      <c r="A27" s="12" t="s">
        <v>49</v>
      </c>
    </row>
    <row r="28" customFormat="false" ht="23.85" hidden="false" customHeight="false" outlineLevel="0" collapsed="false">
      <c r="A28" s="11" t="s">
        <v>50</v>
      </c>
    </row>
    <row r="29" customFormat="false" ht="23.85" hidden="false" customHeight="false" outlineLevel="0" collapsed="false">
      <c r="A29" s="11" t="s">
        <v>51</v>
      </c>
    </row>
    <row r="30" customFormat="false" ht="23.85" hidden="false" customHeight="false" outlineLevel="0" collapsed="false">
      <c r="A30" s="11" t="s">
        <v>52</v>
      </c>
    </row>
    <row r="31" customFormat="false" ht="15" hidden="false" customHeight="false" outlineLevel="0" collapsed="false">
      <c r="A31" s="11" t="s">
        <v>53</v>
      </c>
    </row>
    <row r="32" customFormat="false" ht="15" hidden="false" customHeight="false" outlineLevel="0" collapsed="false">
      <c r="A32" s="11"/>
    </row>
    <row r="33" customFormat="false" ht="15" hidden="false" customHeight="false" outlineLevel="0" collapsed="false">
      <c r="A33" s="12" t="s">
        <v>54</v>
      </c>
    </row>
    <row r="34" customFormat="false" ht="23.85" hidden="false" customHeight="false" outlineLevel="0" collapsed="false">
      <c r="A34" s="11" t="s">
        <v>55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4" min="2" style="0" width="14"/>
    <col collapsed="false" customWidth="true" hidden="false" outlineLevel="0" max="5" min="5" style="0" width="12"/>
    <col collapsed="false" customWidth="true" hidden="false" outlineLevel="0" max="6" min="6" style="0" width="70"/>
  </cols>
  <sheetData>
    <row r="1" customFormat="false" ht="17.35" hidden="false" customHeight="false" outlineLevel="0" collapsed="false">
      <c r="A1" s="1" t="s">
        <v>56</v>
      </c>
    </row>
    <row r="2" customFormat="false" ht="15" hidden="false" customHeight="false" outlineLevel="0" collapsed="false">
      <c r="A2" s="2" t="s">
        <v>57</v>
      </c>
    </row>
    <row r="4" customFormat="false" ht="15" hidden="false" customHeight="false" outlineLevel="0" collapsed="false">
      <c r="A4" s="13" t="s">
        <v>58</v>
      </c>
      <c r="B4" s="14"/>
      <c r="C4" s="14"/>
      <c r="D4" s="14"/>
      <c r="E4" s="14"/>
      <c r="F4" s="14"/>
    </row>
    <row r="5" customFormat="false" ht="15" hidden="false" customHeight="false" outlineLevel="0" collapsed="false">
      <c r="A5" s="4" t="s">
        <v>59</v>
      </c>
      <c r="B5" s="15" t="n">
        <v>46388</v>
      </c>
      <c r="C5" s="2"/>
      <c r="F5" s="2" t="s">
        <v>60</v>
      </c>
    </row>
    <row r="6" customFormat="false" ht="15" hidden="false" customHeight="false" outlineLevel="0" collapsed="false">
      <c r="A6" s="4" t="s">
        <v>61</v>
      </c>
      <c r="B6" s="16" t="n">
        <v>21</v>
      </c>
      <c r="C6" s="2" t="s">
        <v>62</v>
      </c>
      <c r="F6" s="2" t="s">
        <v>63</v>
      </c>
    </row>
    <row r="8" customFormat="false" ht="15" hidden="false" customHeight="false" outlineLevel="0" collapsed="false">
      <c r="A8" s="13" t="s">
        <v>64</v>
      </c>
      <c r="B8" s="14"/>
      <c r="C8" s="14"/>
      <c r="D8" s="14"/>
      <c r="E8" s="14"/>
      <c r="F8" s="14"/>
    </row>
    <row r="9" customFormat="false" ht="15" hidden="false" customHeight="false" outlineLevel="0" collapsed="false">
      <c r="A9" s="4" t="s">
        <v>65</v>
      </c>
      <c r="B9" s="17" t="n">
        <v>27500</v>
      </c>
      <c r="C9" s="2" t="s">
        <v>66</v>
      </c>
      <c r="F9" s="2" t="s">
        <v>67</v>
      </c>
    </row>
    <row r="10" customFormat="false" ht="15" hidden="false" customHeight="false" outlineLevel="0" collapsed="false">
      <c r="A10" s="4" t="s">
        <v>68</v>
      </c>
      <c r="B10" s="18" t="n">
        <v>8000</v>
      </c>
      <c r="C10" s="2" t="s">
        <v>66</v>
      </c>
      <c r="F10" s="2" t="s">
        <v>69</v>
      </c>
    </row>
    <row r="11" customFormat="false" ht="15" hidden="false" customHeight="false" outlineLevel="0" collapsed="false">
      <c r="A11" s="4" t="s">
        <v>70</v>
      </c>
      <c r="B11" s="17" t="n">
        <v>20000</v>
      </c>
      <c r="C11" s="2" t="s">
        <v>66</v>
      </c>
      <c r="F11" s="2" t="s">
        <v>71</v>
      </c>
    </row>
    <row r="12" customFormat="false" ht="15" hidden="false" customHeight="false" outlineLevel="0" collapsed="false">
      <c r="A12" s="4" t="s">
        <v>72</v>
      </c>
      <c r="B12" s="17" t="n">
        <v>5000</v>
      </c>
      <c r="C12" s="2" t="s">
        <v>66</v>
      </c>
      <c r="F12" s="2" t="s">
        <v>73</v>
      </c>
    </row>
    <row r="13" customFormat="false" ht="15" hidden="false" customHeight="false" outlineLevel="0" collapsed="false">
      <c r="A13" s="4" t="s">
        <v>74</v>
      </c>
      <c r="B13" s="18" t="n">
        <v>1200</v>
      </c>
      <c r="C13" s="2" t="s">
        <v>75</v>
      </c>
      <c r="F13" s="2" t="s">
        <v>76</v>
      </c>
    </row>
    <row r="14" customFormat="false" ht="15" hidden="false" customHeight="false" outlineLevel="0" collapsed="false">
      <c r="A14" s="4" t="s">
        <v>77</v>
      </c>
      <c r="B14" s="17" t="n">
        <v>5000</v>
      </c>
      <c r="C14" s="2" t="s">
        <v>75</v>
      </c>
      <c r="F14" s="2" t="s">
        <v>78</v>
      </c>
    </row>
    <row r="16" customFormat="false" ht="15" hidden="false" customHeight="false" outlineLevel="0" collapsed="false">
      <c r="A16" s="13" t="s">
        <v>79</v>
      </c>
      <c r="B16" s="14"/>
      <c r="C16" s="14"/>
      <c r="D16" s="14"/>
      <c r="E16" s="14"/>
      <c r="F16" s="14"/>
    </row>
    <row r="17" customFormat="false" ht="15" hidden="false" customHeight="false" outlineLevel="0" collapsed="false">
      <c r="A17" s="4" t="s">
        <v>80</v>
      </c>
      <c r="B17" s="16" t="n">
        <v>5</v>
      </c>
      <c r="C17" s="2" t="s">
        <v>81</v>
      </c>
      <c r="F17" s="2" t="s">
        <v>82</v>
      </c>
    </row>
    <row r="18" customFormat="false" ht="15" hidden="false" customHeight="false" outlineLevel="0" collapsed="false">
      <c r="A18" s="4" t="s">
        <v>83</v>
      </c>
      <c r="B18" s="16" t="n">
        <v>5</v>
      </c>
      <c r="C18" s="2" t="s">
        <v>81</v>
      </c>
      <c r="F18" s="2"/>
    </row>
    <row r="19" customFormat="false" ht="15" hidden="false" customHeight="false" outlineLevel="0" collapsed="false">
      <c r="A19" s="4" t="s">
        <v>84</v>
      </c>
      <c r="B19" s="16" t="n">
        <v>5</v>
      </c>
      <c r="C19" s="2" t="s">
        <v>81</v>
      </c>
      <c r="F19" s="2"/>
    </row>
    <row r="20" customFormat="false" ht="15" hidden="false" customHeight="false" outlineLevel="0" collapsed="false">
      <c r="A20" s="4" t="s">
        <v>85</v>
      </c>
      <c r="B20" s="16" t="n">
        <v>3</v>
      </c>
      <c r="C20" s="2" t="s">
        <v>81</v>
      </c>
      <c r="F20" s="2" t="s">
        <v>86</v>
      </c>
    </row>
    <row r="22" customFormat="false" ht="15" hidden="false" customHeight="false" outlineLevel="0" collapsed="false">
      <c r="A22" s="13" t="s">
        <v>87</v>
      </c>
      <c r="B22" s="14"/>
      <c r="C22" s="14"/>
      <c r="D22" s="14"/>
      <c r="E22" s="14"/>
      <c r="F22" s="14"/>
    </row>
    <row r="23" customFormat="false" ht="15" hidden="false" customHeight="false" outlineLevel="0" collapsed="false">
      <c r="A23" s="4" t="s">
        <v>88</v>
      </c>
      <c r="B23" s="18" t="n">
        <v>1000</v>
      </c>
      <c r="C23" s="2" t="s">
        <v>75</v>
      </c>
      <c r="F23" s="2" t="s">
        <v>89</v>
      </c>
    </row>
    <row r="24" customFormat="false" ht="15" hidden="false" customHeight="false" outlineLevel="0" collapsed="false">
      <c r="A24" s="4" t="s">
        <v>90</v>
      </c>
      <c r="B24" s="17" t="n">
        <v>10000</v>
      </c>
      <c r="C24" s="2" t="s">
        <v>75</v>
      </c>
      <c r="F24" s="2" t="s">
        <v>91</v>
      </c>
    </row>
    <row r="25" customFormat="false" ht="15" hidden="false" customHeight="false" outlineLevel="0" collapsed="false">
      <c r="A25" s="4" t="s">
        <v>92</v>
      </c>
      <c r="B25" s="19" t="n">
        <v>0.042</v>
      </c>
      <c r="C25" s="2"/>
      <c r="F25" s="2" t="s">
        <v>93</v>
      </c>
    </row>
    <row r="26" customFormat="false" ht="15" hidden="false" customHeight="false" outlineLevel="0" collapsed="false">
      <c r="A26" s="4" t="s">
        <v>94</v>
      </c>
      <c r="B26" s="16" t="n">
        <v>60</v>
      </c>
      <c r="C26" s="2" t="s">
        <v>95</v>
      </c>
      <c r="F26" s="2" t="s">
        <v>96</v>
      </c>
    </row>
    <row r="27" customFormat="false" ht="15" hidden="false" customHeight="false" outlineLevel="0" collapsed="false">
      <c r="A27" s="4" t="s">
        <v>97</v>
      </c>
      <c r="B27" s="18" t="n">
        <v>500</v>
      </c>
      <c r="C27" s="2" t="s">
        <v>75</v>
      </c>
      <c r="F27" s="2" t="s">
        <v>98</v>
      </c>
    </row>
    <row r="28" customFormat="false" ht="15" hidden="false" customHeight="false" outlineLevel="0" collapsed="false">
      <c r="A28" s="4" t="s">
        <v>99</v>
      </c>
      <c r="B28" s="5" t="n">
        <f aca="false">Financement!$E$6</f>
        <v>56200</v>
      </c>
      <c r="F28" s="2" t="s">
        <v>100</v>
      </c>
    </row>
    <row r="30" customFormat="false" ht="15" hidden="false" customHeight="false" outlineLevel="0" collapsed="false">
      <c r="A30" s="13" t="s">
        <v>101</v>
      </c>
      <c r="B30" s="14"/>
      <c r="C30" s="14"/>
      <c r="D30" s="14"/>
      <c r="E30" s="14"/>
      <c r="F30" s="14"/>
    </row>
    <row r="31" customFormat="false" ht="15" hidden="false" customHeight="false" outlineLevel="0" collapsed="false">
      <c r="A31" s="4" t="s">
        <v>102</v>
      </c>
      <c r="B31" s="17" t="n">
        <v>280</v>
      </c>
      <c r="C31" s="2" t="s">
        <v>103</v>
      </c>
      <c r="F31" s="2" t="s">
        <v>104</v>
      </c>
    </row>
    <row r="32" customFormat="false" ht="15" hidden="false" customHeight="false" outlineLevel="0" collapsed="false">
      <c r="A32" s="4" t="s">
        <v>105</v>
      </c>
      <c r="B32" s="17" t="n">
        <v>750</v>
      </c>
      <c r="C32" s="2" t="s">
        <v>103</v>
      </c>
      <c r="F32" s="2" t="s">
        <v>106</v>
      </c>
    </row>
    <row r="33" customFormat="false" ht="15" hidden="false" customHeight="false" outlineLevel="0" collapsed="false">
      <c r="A33" s="4" t="s">
        <v>107</v>
      </c>
      <c r="B33" s="17" t="n">
        <v>65000</v>
      </c>
      <c r="C33" s="2" t="s">
        <v>66</v>
      </c>
      <c r="F33" s="2" t="s">
        <v>108</v>
      </c>
    </row>
    <row r="34" customFormat="false" ht="15" hidden="false" customHeight="false" outlineLevel="0" collapsed="false">
      <c r="A34" s="4" t="s">
        <v>109</v>
      </c>
      <c r="B34" s="19" t="n">
        <v>0.15</v>
      </c>
      <c r="C34" s="2"/>
      <c r="F34" s="2" t="s">
        <v>110</v>
      </c>
    </row>
    <row r="35" customFormat="false" ht="15" hidden="false" customHeight="false" outlineLevel="0" collapsed="false">
      <c r="A35" s="4" t="s">
        <v>111</v>
      </c>
      <c r="B35" s="19" t="n">
        <v>0.1</v>
      </c>
      <c r="C35" s="2"/>
      <c r="F35" s="2" t="s">
        <v>110</v>
      </c>
    </row>
    <row r="36" customFormat="false" ht="15" hidden="false" customHeight="false" outlineLevel="0" collapsed="false">
      <c r="A36" s="2" t="s">
        <v>112</v>
      </c>
    </row>
    <row r="38" customFormat="false" ht="15" hidden="false" customHeight="false" outlineLevel="0" collapsed="false">
      <c r="A38" s="13" t="s">
        <v>113</v>
      </c>
      <c r="B38" s="14"/>
      <c r="C38" s="14"/>
      <c r="D38" s="14"/>
      <c r="E38" s="14"/>
      <c r="F38" s="14"/>
    </row>
    <row r="39" customFormat="false" ht="15" hidden="false" customHeight="false" outlineLevel="0" collapsed="false">
      <c r="A39" s="4" t="s">
        <v>114</v>
      </c>
      <c r="B39" s="19" t="n">
        <v>0.3</v>
      </c>
      <c r="C39" s="2"/>
      <c r="F39" s="2" t="s">
        <v>115</v>
      </c>
    </row>
    <row r="40" customFormat="false" ht="15" hidden="false" customHeight="false" outlineLevel="0" collapsed="false">
      <c r="A40" s="4" t="s">
        <v>116</v>
      </c>
      <c r="B40" s="18" t="n">
        <v>30</v>
      </c>
      <c r="C40" s="2" t="s">
        <v>103</v>
      </c>
      <c r="F40" s="2" t="s">
        <v>117</v>
      </c>
    </row>
    <row r="41" customFormat="false" ht="15" hidden="false" customHeight="false" outlineLevel="0" collapsed="false">
      <c r="A41" s="4" t="s">
        <v>118</v>
      </c>
      <c r="B41" s="18" t="n">
        <v>10</v>
      </c>
      <c r="C41" s="2" t="s">
        <v>103</v>
      </c>
      <c r="F41" s="2" t="s">
        <v>119</v>
      </c>
    </row>
    <row r="42" customFormat="false" ht="15" hidden="false" customHeight="false" outlineLevel="0" collapsed="false">
      <c r="A42" s="4" t="s">
        <v>120</v>
      </c>
      <c r="B42" s="20" t="n">
        <v>0.06</v>
      </c>
      <c r="C42" s="2"/>
      <c r="F42" s="2" t="s">
        <v>110</v>
      </c>
    </row>
    <row r="44" customFormat="false" ht="15" hidden="false" customHeight="false" outlineLevel="0" collapsed="false">
      <c r="A44" s="13" t="s">
        <v>121</v>
      </c>
      <c r="B44" s="14"/>
      <c r="C44" s="14"/>
      <c r="D44" s="14"/>
      <c r="E44" s="14"/>
      <c r="F44" s="14"/>
    </row>
    <row r="45" customFormat="false" ht="15" hidden="false" customHeight="false" outlineLevel="0" collapsed="false">
      <c r="A45" s="4" t="s">
        <v>122</v>
      </c>
      <c r="B45" s="16" t="n">
        <v>2</v>
      </c>
      <c r="C45" s="2"/>
      <c r="F45" s="2" t="s">
        <v>123</v>
      </c>
    </row>
    <row r="46" customFormat="false" ht="15" hidden="false" customHeight="false" outlineLevel="0" collapsed="false">
      <c r="A46" s="3"/>
      <c r="B46" s="3" t="s">
        <v>9</v>
      </c>
      <c r="C46" s="3" t="s">
        <v>10</v>
      </c>
      <c r="D46" s="3" t="s">
        <v>11</v>
      </c>
    </row>
    <row r="47" customFormat="false" ht="15" hidden="false" customHeight="false" outlineLevel="0" collapsed="false">
      <c r="A47" s="4" t="s">
        <v>124</v>
      </c>
      <c r="B47" s="17" t="n">
        <v>1000</v>
      </c>
      <c r="C47" s="17" t="n">
        <v>1500</v>
      </c>
      <c r="D47" s="17" t="n">
        <v>2000</v>
      </c>
      <c r="F47" s="2" t="s">
        <v>125</v>
      </c>
    </row>
    <row r="48" customFormat="false" ht="15" hidden="false" customHeight="false" outlineLevel="0" collapsed="false">
      <c r="A48" s="4" t="s">
        <v>126</v>
      </c>
      <c r="B48" s="21" t="n">
        <v>4</v>
      </c>
      <c r="C48" s="2" t="s">
        <v>127</v>
      </c>
      <c r="F48" s="2" t="s">
        <v>128</v>
      </c>
    </row>
    <row r="49" customFormat="false" ht="15" hidden="false" customHeight="false" outlineLevel="0" collapsed="false">
      <c r="A49" s="4" t="s">
        <v>129</v>
      </c>
      <c r="B49" s="19" t="n">
        <v>0.45</v>
      </c>
      <c r="C49" s="2"/>
      <c r="F49" s="2" t="s">
        <v>130</v>
      </c>
    </row>
    <row r="51" customFormat="false" ht="15" hidden="false" customHeight="false" outlineLevel="0" collapsed="false">
      <c r="A51" s="13" t="s">
        <v>131</v>
      </c>
      <c r="B51" s="14"/>
      <c r="C51" s="14"/>
      <c r="D51" s="14"/>
      <c r="E51" s="14"/>
      <c r="F51" s="14"/>
    </row>
    <row r="52" customFormat="false" ht="15" hidden="false" customHeight="false" outlineLevel="0" collapsed="false">
      <c r="A52" s="4" t="s">
        <v>132</v>
      </c>
      <c r="B52" s="20" t="n">
        <v>0.2</v>
      </c>
      <c r="C52" s="2"/>
      <c r="F52" s="2" t="s">
        <v>133</v>
      </c>
    </row>
    <row r="53" customFormat="false" ht="15" hidden="false" customHeight="false" outlineLevel="0" collapsed="false">
      <c r="A53" s="4" t="s">
        <v>134</v>
      </c>
      <c r="B53" s="20" t="n">
        <v>0.15</v>
      </c>
      <c r="C53" s="2"/>
      <c r="F53" s="2" t="s">
        <v>135</v>
      </c>
    </row>
    <row r="54" customFormat="false" ht="15" hidden="false" customHeight="false" outlineLevel="0" collapsed="false">
      <c r="A54" s="4" t="s">
        <v>136</v>
      </c>
      <c r="B54" s="18" t="n">
        <v>42500</v>
      </c>
      <c r="C54" s="2" t="s">
        <v>75</v>
      </c>
      <c r="F54" s="2" t="s">
        <v>137</v>
      </c>
    </row>
    <row r="55" customFormat="false" ht="15" hidden="false" customHeight="false" outlineLevel="0" collapsed="false">
      <c r="A55" s="4" t="s">
        <v>138</v>
      </c>
      <c r="B55" s="20" t="n">
        <v>0.25</v>
      </c>
      <c r="C55" s="2"/>
      <c r="F55" s="2"/>
    </row>
    <row r="56" customFormat="false" ht="15" hidden="false" customHeight="false" outlineLevel="0" collapsed="false">
      <c r="A56" s="4" t="s">
        <v>139</v>
      </c>
      <c r="B56" s="21" t="n">
        <v>3</v>
      </c>
      <c r="C56" s="2" t="s">
        <v>127</v>
      </c>
      <c r="F56" s="2" t="s">
        <v>140</v>
      </c>
    </row>
    <row r="57" customFormat="false" ht="15" hidden="false" customHeight="false" outlineLevel="0" collapsed="false">
      <c r="A57" s="4" t="s">
        <v>141</v>
      </c>
      <c r="B57" s="22" t="n">
        <v>1</v>
      </c>
      <c r="C57" s="2"/>
      <c r="F57" s="2" t="s">
        <v>142</v>
      </c>
    </row>
    <row r="59" customFormat="false" ht="15" hidden="false" customHeight="false" outlineLevel="0" collapsed="false">
      <c r="A59" s="13" t="s">
        <v>143</v>
      </c>
      <c r="B59" s="14"/>
      <c r="C59" s="14"/>
      <c r="D59" s="14"/>
      <c r="E59" s="14"/>
      <c r="F59" s="14"/>
    </row>
    <row r="60" customFormat="false" ht="15" hidden="false" customHeight="false" outlineLevel="0" collapsed="false">
      <c r="A60" s="3" t="s">
        <v>144</v>
      </c>
      <c r="B60" s="3" t="s">
        <v>9</v>
      </c>
      <c r="C60" s="3" t="s">
        <v>10</v>
      </c>
      <c r="D60" s="3" t="s">
        <v>11</v>
      </c>
      <c r="E60" s="3" t="s">
        <v>145</v>
      </c>
      <c r="F60" s="3" t="s">
        <v>146</v>
      </c>
    </row>
    <row r="61" customFormat="false" ht="15" hidden="false" customHeight="false" outlineLevel="0" collapsed="false">
      <c r="A61" s="4" t="s">
        <v>147</v>
      </c>
      <c r="B61" s="18" t="n">
        <v>3000</v>
      </c>
      <c r="C61" s="18" t="n">
        <v>3000</v>
      </c>
      <c r="D61" s="18" t="n">
        <v>3000</v>
      </c>
      <c r="E61" s="23" t="n">
        <v>0</v>
      </c>
      <c r="F61" s="2" t="s">
        <v>148</v>
      </c>
    </row>
    <row r="62" customFormat="false" ht="15" hidden="false" customHeight="false" outlineLevel="0" collapsed="false">
      <c r="A62" s="4" t="s">
        <v>149</v>
      </c>
      <c r="B62" s="18" t="n">
        <v>1200</v>
      </c>
      <c r="C62" s="18" t="n">
        <v>1200</v>
      </c>
      <c r="D62" s="18" t="n">
        <v>1200</v>
      </c>
      <c r="E62" s="23" t="n">
        <v>0</v>
      </c>
      <c r="F62" s="2" t="s">
        <v>98</v>
      </c>
    </row>
    <row r="63" customFormat="false" ht="15" hidden="false" customHeight="false" outlineLevel="0" collapsed="false">
      <c r="A63" s="4" t="s">
        <v>150</v>
      </c>
      <c r="B63" s="18" t="n">
        <v>1500</v>
      </c>
      <c r="C63" s="18" t="n">
        <v>1500</v>
      </c>
      <c r="D63" s="18" t="n">
        <v>1500</v>
      </c>
      <c r="E63" s="23" t="n">
        <v>0</v>
      </c>
      <c r="F63" s="2" t="s">
        <v>98</v>
      </c>
    </row>
    <row r="64" customFormat="false" ht="15" hidden="false" customHeight="false" outlineLevel="0" collapsed="false">
      <c r="A64" s="4" t="s">
        <v>151</v>
      </c>
      <c r="B64" s="18" t="n">
        <v>2500</v>
      </c>
      <c r="C64" s="18" t="n">
        <v>3000</v>
      </c>
      <c r="D64" s="18" t="n">
        <v>3500</v>
      </c>
      <c r="E64" s="23" t="n">
        <v>1</v>
      </c>
      <c r="F64" s="2" t="s">
        <v>152</v>
      </c>
    </row>
    <row r="65" customFormat="false" ht="15" hidden="false" customHeight="false" outlineLevel="0" collapsed="false">
      <c r="A65" s="4" t="s">
        <v>153</v>
      </c>
      <c r="B65" s="18" t="n">
        <v>400</v>
      </c>
      <c r="C65" s="18" t="n">
        <v>400</v>
      </c>
      <c r="D65" s="18" t="n">
        <v>400</v>
      </c>
      <c r="E65" s="23" t="n">
        <v>1</v>
      </c>
      <c r="F65" s="2" t="s">
        <v>154</v>
      </c>
    </row>
    <row r="66" customFormat="false" ht="15" hidden="false" customHeight="false" outlineLevel="0" collapsed="false">
      <c r="A66" s="4" t="s">
        <v>155</v>
      </c>
      <c r="B66" s="18" t="n">
        <v>2400</v>
      </c>
      <c r="C66" s="18" t="n">
        <v>2400</v>
      </c>
      <c r="D66" s="18" t="n">
        <v>2400</v>
      </c>
      <c r="E66" s="23" t="n">
        <v>1</v>
      </c>
      <c r="F66" s="2" t="s">
        <v>156</v>
      </c>
    </row>
    <row r="67" customFormat="false" ht="15" hidden="false" customHeight="false" outlineLevel="0" collapsed="false">
      <c r="A67" s="4" t="s">
        <v>157</v>
      </c>
      <c r="B67" s="18" t="n">
        <v>600</v>
      </c>
      <c r="C67" s="18" t="n">
        <v>600</v>
      </c>
      <c r="D67" s="18" t="n">
        <v>600</v>
      </c>
      <c r="E67" s="23" t="n">
        <v>0</v>
      </c>
      <c r="F67" s="2" t="s">
        <v>98</v>
      </c>
    </row>
    <row r="68" customFormat="false" ht="15" hidden="false" customHeight="false" outlineLevel="0" collapsed="false">
      <c r="A68" s="4" t="s">
        <v>158</v>
      </c>
      <c r="B68" s="18" t="n">
        <v>720</v>
      </c>
      <c r="C68" s="18" t="n">
        <v>720</v>
      </c>
      <c r="D68" s="18" t="n">
        <v>720</v>
      </c>
      <c r="E68" s="23" t="n">
        <v>1</v>
      </c>
      <c r="F68" s="2" t="s">
        <v>98</v>
      </c>
    </row>
    <row r="69" customFormat="false" ht="15" hidden="false" customHeight="false" outlineLevel="0" collapsed="false">
      <c r="A69" s="4" t="s">
        <v>159</v>
      </c>
      <c r="B69" s="18" t="n">
        <v>1500</v>
      </c>
      <c r="C69" s="18" t="n">
        <v>1000</v>
      </c>
      <c r="D69" s="18" t="n">
        <v>1000</v>
      </c>
      <c r="E69" s="23" t="n">
        <v>1</v>
      </c>
      <c r="F69" s="2" t="s">
        <v>160</v>
      </c>
    </row>
    <row r="70" customFormat="false" ht="15" hidden="false" customHeight="false" outlineLevel="0" collapsed="false">
      <c r="A70" s="4" t="s">
        <v>161</v>
      </c>
      <c r="B70" s="18" t="n">
        <v>1200</v>
      </c>
      <c r="C70" s="18" t="n">
        <v>1200</v>
      </c>
      <c r="D70" s="18" t="n">
        <v>1200</v>
      </c>
      <c r="E70" s="23" t="n">
        <v>1</v>
      </c>
      <c r="F70" s="2" t="s">
        <v>98</v>
      </c>
    </row>
    <row r="71" customFormat="false" ht="15" hidden="false" customHeight="false" outlineLevel="0" collapsed="false">
      <c r="A71" s="4" t="s">
        <v>162</v>
      </c>
      <c r="B71" s="17" t="n">
        <v>0</v>
      </c>
      <c r="C71" s="17" t="n">
        <v>0</v>
      </c>
      <c r="D71" s="17" t="n">
        <v>0</v>
      </c>
      <c r="E71" s="23" t="n">
        <v>1</v>
      </c>
      <c r="F71" s="2" t="s">
        <v>163</v>
      </c>
    </row>
    <row r="72" customFormat="false" ht="15" hidden="false" customHeight="false" outlineLevel="0" collapsed="false">
      <c r="A72" s="4" t="s">
        <v>164</v>
      </c>
      <c r="B72" s="18" t="n">
        <v>600</v>
      </c>
      <c r="C72" s="18" t="n">
        <v>600</v>
      </c>
      <c r="D72" s="18" t="n">
        <v>600</v>
      </c>
      <c r="E72" s="23" t="n">
        <v>1</v>
      </c>
      <c r="F72" s="2" t="s">
        <v>98</v>
      </c>
    </row>
    <row r="73" customFormat="false" ht="15" hidden="false" customHeight="false" outlineLevel="0" collapsed="false">
      <c r="A73" s="4" t="s">
        <v>165</v>
      </c>
      <c r="B73" s="18" t="n">
        <v>300</v>
      </c>
      <c r="C73" s="18" t="n">
        <v>300</v>
      </c>
      <c r="D73" s="18" t="n">
        <v>300</v>
      </c>
      <c r="E73" s="23" t="n">
        <v>1</v>
      </c>
      <c r="F73" s="2" t="s">
        <v>98</v>
      </c>
    </row>
    <row r="74" customFormat="false" ht="15" hidden="false" customHeight="false" outlineLevel="0" collapsed="false">
      <c r="A74" s="4" t="s">
        <v>166</v>
      </c>
      <c r="B74" s="18" t="n">
        <v>0</v>
      </c>
      <c r="C74" s="18" t="n">
        <v>500</v>
      </c>
      <c r="D74" s="18" t="n">
        <v>500</v>
      </c>
      <c r="E74" s="23" t="n">
        <v>0</v>
      </c>
      <c r="F74" s="2" t="s">
        <v>167</v>
      </c>
    </row>
    <row r="75" customFormat="false" ht="15" hidden="false" customHeight="false" outlineLevel="0" collapsed="false">
      <c r="A75" s="4" t="s">
        <v>168</v>
      </c>
      <c r="B75" s="18" t="n">
        <v>1500</v>
      </c>
      <c r="C75" s="18" t="n">
        <v>1500</v>
      </c>
      <c r="D75" s="18" t="n">
        <v>1500</v>
      </c>
      <c r="E75" s="23" t="n">
        <v>1</v>
      </c>
      <c r="F75" s="2" t="s">
        <v>169</v>
      </c>
    </row>
    <row r="76" customFormat="false" ht="15" hidden="false" customHeight="false" outlineLevel="0" collapsed="false">
      <c r="A76" s="24" t="s">
        <v>170</v>
      </c>
      <c r="B76" s="25" t="n">
        <f aca="false">SUM(B61:B75)</f>
        <v>17420</v>
      </c>
      <c r="C76" s="25" t="n">
        <f aca="false">SUM(C61:C75)</f>
        <v>17920</v>
      </c>
      <c r="D76" s="25" t="n">
        <f aca="false">SUM(D61:D75)</f>
        <v>18420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4"/>
    <col collapsed="false" customWidth="true" hidden="false" outlineLevel="0" max="4" min="4" style="0" width="44"/>
    <col collapsed="false" customWidth="true" hidden="false" outlineLevel="0" max="5" min="5" style="0" width="14"/>
    <col collapsed="false" customWidth="true" hidden="false" outlineLevel="0" max="6" min="6" style="0" width="4"/>
    <col collapsed="false" customWidth="true" hidden="false" outlineLevel="0" max="7" min="7" style="0" width="10"/>
    <col collapsed="false" customWidth="true" hidden="false" outlineLevel="0" max="12" min="8" style="0" width="14"/>
    <col collapsed="false" customWidth="true" hidden="false" outlineLevel="0" max="13" min="13" style="0" width="8"/>
  </cols>
  <sheetData>
    <row r="1" customFormat="false" ht="17.35" hidden="false" customHeight="false" outlineLevel="0" collapsed="false">
      <c r="A1" s="1" t="s">
        <v>171</v>
      </c>
    </row>
    <row r="3" customFormat="false" ht="15" hidden="false" customHeight="false" outlineLevel="0" collapsed="false">
      <c r="A3" s="3" t="s">
        <v>172</v>
      </c>
      <c r="B3" s="3" t="s">
        <v>3</v>
      </c>
      <c r="D3" s="3" t="s">
        <v>173</v>
      </c>
      <c r="E3" s="3" t="s">
        <v>3</v>
      </c>
      <c r="G3" s="6" t="s">
        <v>174</v>
      </c>
    </row>
    <row r="4" customFormat="false" ht="15" hidden="false" customHeight="false" outlineLevel="0" collapsed="false">
      <c r="A4" s="4" t="s">
        <v>80</v>
      </c>
      <c r="B4" s="5" t="n">
        <f aca="false">Hypothèses!$B$9</f>
        <v>27500</v>
      </c>
      <c r="D4" s="4" t="s">
        <v>88</v>
      </c>
      <c r="E4" s="5" t="n">
        <f aca="false">Hypothèses!$B$23</f>
        <v>1000</v>
      </c>
      <c r="G4" s="3" t="s">
        <v>175</v>
      </c>
      <c r="H4" s="3" t="s">
        <v>176</v>
      </c>
      <c r="I4" s="3" t="s">
        <v>177</v>
      </c>
      <c r="J4" s="3" t="s">
        <v>178</v>
      </c>
      <c r="K4" s="3" t="s">
        <v>179</v>
      </c>
      <c r="L4" s="3" t="s">
        <v>180</v>
      </c>
    </row>
    <row r="5" customFormat="false" ht="15" hidden="false" customHeight="false" outlineLevel="0" collapsed="false">
      <c r="A5" s="4" t="s">
        <v>83</v>
      </c>
      <c r="B5" s="5" t="n">
        <f aca="false">Hypothèses!$B$10</f>
        <v>8000</v>
      </c>
      <c r="D5" s="4" t="s">
        <v>90</v>
      </c>
      <c r="E5" s="5" t="n">
        <f aca="false">Hypothèses!$B$24</f>
        <v>10000</v>
      </c>
      <c r="G5" s="26" t="n">
        <f aca="false">INT((H5-1)/12)+1</f>
        <v>1</v>
      </c>
      <c r="H5" s="26" t="n">
        <v>1</v>
      </c>
      <c r="I5" s="27" t="n">
        <f aca="false">$B$15</f>
        <v>56200</v>
      </c>
      <c r="J5" s="28" t="n">
        <f aca="false">IF(H5&gt;$B$17,0,I5*$B$16/12)</f>
        <v>196.7</v>
      </c>
      <c r="K5" s="28" t="n">
        <f aca="false">IF(H5&gt;$B$17,0,MIN(I5,$B$18-J5))</f>
        <v>843.388604709508</v>
      </c>
      <c r="L5" s="27" t="n">
        <f aca="false">I5-K5</f>
        <v>55356.6113952905</v>
      </c>
    </row>
    <row r="6" customFormat="false" ht="15" hidden="false" customHeight="false" outlineLevel="0" collapsed="false">
      <c r="A6" s="4" t="s">
        <v>181</v>
      </c>
      <c r="B6" s="5" t="n">
        <f aca="false">Hypothèses!$B$11</f>
        <v>20000</v>
      </c>
      <c r="D6" s="6" t="s">
        <v>182</v>
      </c>
      <c r="E6" s="29" t="n">
        <f aca="false">MAX(0,B11-E4-E5)</f>
        <v>56200</v>
      </c>
      <c r="G6" s="26" t="n">
        <f aca="false">INT((H6-1)/12)+1</f>
        <v>1</v>
      </c>
      <c r="H6" s="26" t="n">
        <v>2</v>
      </c>
      <c r="I6" s="27" t="n">
        <f aca="false">L5</f>
        <v>55356.6113952905</v>
      </c>
      <c r="J6" s="28" t="n">
        <f aca="false">IF(H6&gt;$B$17,0,I6*$B$16/12)</f>
        <v>193.748139883517</v>
      </c>
      <c r="K6" s="28" t="n">
        <f aca="false">IF(H6&gt;$B$17,0,MIN(I6,$B$18-J6))</f>
        <v>846.340464825991</v>
      </c>
      <c r="L6" s="27" t="n">
        <f aca="false">I6-K6</f>
        <v>54510.2709304645</v>
      </c>
    </row>
    <row r="7" customFormat="false" ht="15" hidden="false" customHeight="false" outlineLevel="0" collapsed="false">
      <c r="A7" s="4" t="s">
        <v>85</v>
      </c>
      <c r="B7" s="5" t="n">
        <f aca="false">Hypothèses!$B$12</f>
        <v>5000</v>
      </c>
      <c r="G7" s="26" t="n">
        <f aca="false">INT((H7-1)/12)+1</f>
        <v>1</v>
      </c>
      <c r="H7" s="26" t="n">
        <v>3</v>
      </c>
      <c r="I7" s="27" t="n">
        <f aca="false">L6</f>
        <v>54510.2709304645</v>
      </c>
      <c r="J7" s="28" t="n">
        <f aca="false">IF(H7&gt;$B$17,0,I7*$B$16/12)</f>
        <v>190.785948256626</v>
      </c>
      <c r="K7" s="28" t="n">
        <f aca="false">IF(H7&gt;$B$17,0,MIN(I7,$B$18-J7))</f>
        <v>849.302656452882</v>
      </c>
      <c r="L7" s="27" t="n">
        <f aca="false">I7-K7</f>
        <v>53660.9682740116</v>
      </c>
    </row>
    <row r="8" customFormat="false" ht="15" hidden="false" customHeight="false" outlineLevel="0" collapsed="false">
      <c r="A8" s="4" t="s">
        <v>183</v>
      </c>
      <c r="B8" s="5" t="n">
        <f aca="false">Hypothèses!$B$13</f>
        <v>1200</v>
      </c>
      <c r="G8" s="26" t="n">
        <f aca="false">INT((H8-1)/12)+1</f>
        <v>1</v>
      </c>
      <c r="H8" s="26" t="n">
        <v>4</v>
      </c>
      <c r="I8" s="27" t="n">
        <f aca="false">L7</f>
        <v>53660.9682740116</v>
      </c>
      <c r="J8" s="28" t="n">
        <f aca="false">IF(H8&gt;$B$17,0,I8*$B$16/12)</f>
        <v>187.813388959041</v>
      </c>
      <c r="K8" s="28" t="n">
        <f aca="false">IF(H8&gt;$B$17,0,MIN(I8,$B$18-J8))</f>
        <v>852.275215750467</v>
      </c>
      <c r="L8" s="27" t="n">
        <f aca="false">I8-K8</f>
        <v>52808.6930582612</v>
      </c>
    </row>
    <row r="9" customFormat="false" ht="15" hidden="false" customHeight="false" outlineLevel="0" collapsed="false">
      <c r="A9" s="4" t="s">
        <v>184</v>
      </c>
      <c r="B9" s="5" t="n">
        <f aca="false">Hypothèses!$B$27</f>
        <v>500</v>
      </c>
      <c r="G9" s="26" t="n">
        <f aca="false">INT((H9-1)/12)+1</f>
        <v>1</v>
      </c>
      <c r="H9" s="26" t="n">
        <v>5</v>
      </c>
      <c r="I9" s="27" t="n">
        <f aca="false">L8</f>
        <v>52808.6930582612</v>
      </c>
      <c r="J9" s="28" t="n">
        <f aca="false">IF(H9&gt;$B$17,0,I9*$B$16/12)</f>
        <v>184.830425703914</v>
      </c>
      <c r="K9" s="28" t="n">
        <f aca="false">IF(H9&gt;$B$17,0,MIN(I9,$B$18-J9))</f>
        <v>855.258179005594</v>
      </c>
      <c r="L9" s="27" t="n">
        <f aca="false">I9-K9</f>
        <v>51953.4348792556</v>
      </c>
    </row>
    <row r="10" customFormat="false" ht="15" hidden="false" customHeight="false" outlineLevel="0" collapsed="false">
      <c r="A10" s="4" t="s">
        <v>185</v>
      </c>
      <c r="B10" s="5" t="n">
        <f aca="false">Hypothèses!$B$14</f>
        <v>5000</v>
      </c>
      <c r="G10" s="26" t="n">
        <f aca="false">INT((H10-1)/12)+1</f>
        <v>1</v>
      </c>
      <c r="H10" s="26" t="n">
        <v>6</v>
      </c>
      <c r="I10" s="27" t="n">
        <f aca="false">L9</f>
        <v>51953.4348792556</v>
      </c>
      <c r="J10" s="28" t="n">
        <f aca="false">IF(H10&gt;$B$17,0,I10*$B$16/12)</f>
        <v>181.837022077395</v>
      </c>
      <c r="K10" s="28" t="n">
        <f aca="false">IF(H10&gt;$B$17,0,MIN(I10,$B$18-J10))</f>
        <v>858.251582632113</v>
      </c>
      <c r="L10" s="27" t="n">
        <f aca="false">I10-K10</f>
        <v>51095.1832966235</v>
      </c>
    </row>
    <row r="11" customFormat="false" ht="15" hidden="false" customHeight="false" outlineLevel="0" collapsed="false">
      <c r="A11" s="24" t="s">
        <v>186</v>
      </c>
      <c r="B11" s="25" t="n">
        <f aca="false">SUM(B4:B10)</f>
        <v>67200</v>
      </c>
      <c r="D11" s="24" t="s">
        <v>187</v>
      </c>
      <c r="E11" s="25" t="n">
        <f aca="false">SUM(E4:E6)</f>
        <v>67200</v>
      </c>
      <c r="G11" s="26" t="n">
        <f aca="false">INT((H11-1)/12)+1</f>
        <v>1</v>
      </c>
      <c r="H11" s="26" t="n">
        <v>7</v>
      </c>
      <c r="I11" s="27" t="n">
        <f aca="false">L10</f>
        <v>51095.1832966235</v>
      </c>
      <c r="J11" s="28" t="n">
        <f aca="false">IF(H11&gt;$B$17,0,I11*$B$16/12)</f>
        <v>178.833141538182</v>
      </c>
      <c r="K11" s="28" t="n">
        <f aca="false">IF(H11&gt;$B$17,0,MIN(I11,$B$18-J11))</f>
        <v>861.255463171326</v>
      </c>
      <c r="L11" s="27" t="n">
        <f aca="false">I11-K11</f>
        <v>50233.9278334521</v>
      </c>
    </row>
    <row r="12" customFormat="false" ht="15" hidden="false" customHeight="false" outlineLevel="0" collapsed="false">
      <c r="A12" s="2" t="s">
        <v>188</v>
      </c>
      <c r="B12" s="30" t="n">
        <f aca="false">SUM(B4:B7)*Hypothèses!$B$52</f>
        <v>12100</v>
      </c>
      <c r="D12" s="2" t="s">
        <v>189</v>
      </c>
      <c r="E12" s="31" t="n">
        <f aca="false">IF(E11=0,0,(E4+E5)/E11)</f>
        <v>0.163690476190476</v>
      </c>
      <c r="G12" s="26" t="n">
        <f aca="false">INT((H12-1)/12)+1</f>
        <v>1</v>
      </c>
      <c r="H12" s="26" t="n">
        <v>8</v>
      </c>
      <c r="I12" s="27" t="n">
        <f aca="false">L11</f>
        <v>50233.9278334521</v>
      </c>
      <c r="J12" s="28" t="n">
        <f aca="false">IF(H12&gt;$B$17,0,I12*$B$16/12)</f>
        <v>175.818747417082</v>
      </c>
      <c r="K12" s="28" t="n">
        <f aca="false">IF(H12&gt;$B$17,0,MIN(I12,$B$18-J12))</f>
        <v>864.269857292425</v>
      </c>
      <c r="L12" s="27" t="n">
        <f aca="false">I12-K12</f>
        <v>49369.6579761597</v>
      </c>
    </row>
    <row r="13" customFormat="false" ht="15" hidden="false" customHeight="false" outlineLevel="0" collapsed="false">
      <c r="G13" s="26" t="n">
        <f aca="false">INT((H13-1)/12)+1</f>
        <v>1</v>
      </c>
      <c r="H13" s="26" t="n">
        <v>9</v>
      </c>
      <c r="I13" s="27" t="n">
        <f aca="false">L12</f>
        <v>49369.6579761597</v>
      </c>
      <c r="J13" s="28" t="n">
        <f aca="false">IF(H13&gt;$B$17,0,I13*$B$16/12)</f>
        <v>172.793802916559</v>
      </c>
      <c r="K13" s="28" t="n">
        <f aca="false">IF(H13&gt;$B$17,0,MIN(I13,$B$18-J13))</f>
        <v>867.294801792949</v>
      </c>
      <c r="L13" s="27" t="n">
        <f aca="false">I13-K13</f>
        <v>48502.3631743667</v>
      </c>
    </row>
    <row r="14" customFormat="false" ht="15" hidden="false" customHeight="false" outlineLevel="0" collapsed="false">
      <c r="A14" s="6" t="s">
        <v>190</v>
      </c>
      <c r="G14" s="26" t="n">
        <f aca="false">INT((H14-1)/12)+1</f>
        <v>1</v>
      </c>
      <c r="H14" s="26" t="n">
        <v>10</v>
      </c>
      <c r="I14" s="27" t="n">
        <f aca="false">L13</f>
        <v>48502.3631743667</v>
      </c>
      <c r="J14" s="28" t="n">
        <f aca="false">IF(H14&gt;$B$17,0,I14*$B$16/12)</f>
        <v>169.758271110284</v>
      </c>
      <c r="K14" s="28" t="n">
        <f aca="false">IF(H14&gt;$B$17,0,MIN(I14,$B$18-J14))</f>
        <v>870.330333599224</v>
      </c>
      <c r="L14" s="27" t="n">
        <f aca="false">I14-K14</f>
        <v>47632.0328407675</v>
      </c>
    </row>
    <row r="15" customFormat="false" ht="15" hidden="false" customHeight="false" outlineLevel="0" collapsed="false">
      <c r="A15" s="4" t="s">
        <v>191</v>
      </c>
      <c r="B15" s="27" t="n">
        <f aca="false">Financement!$E$6</f>
        <v>56200</v>
      </c>
      <c r="G15" s="26" t="n">
        <f aca="false">INT((H15-1)/12)+1</f>
        <v>1</v>
      </c>
      <c r="H15" s="26" t="n">
        <v>11</v>
      </c>
      <c r="I15" s="27" t="n">
        <f aca="false">L14</f>
        <v>47632.0328407675</v>
      </c>
      <c r="J15" s="28" t="n">
        <f aca="false">IF(H15&gt;$B$17,0,I15*$B$16/12)</f>
        <v>166.712114942686</v>
      </c>
      <c r="K15" s="28" t="n">
        <f aca="false">IF(H15&gt;$B$17,0,MIN(I15,$B$18-J15))</f>
        <v>873.376489766822</v>
      </c>
      <c r="L15" s="27" t="n">
        <f aca="false">I15-K15</f>
        <v>46758.6563510007</v>
      </c>
    </row>
    <row r="16" customFormat="false" ht="15" hidden="false" customHeight="false" outlineLevel="0" collapsed="false">
      <c r="A16" s="4" t="s">
        <v>192</v>
      </c>
      <c r="B16" s="9" t="n">
        <f aca="false">Hypothèses!$B$25</f>
        <v>0.042</v>
      </c>
      <c r="G16" s="26" t="n">
        <f aca="false">INT((H16-1)/12)+1</f>
        <v>1</v>
      </c>
      <c r="H16" s="26" t="n">
        <v>12</v>
      </c>
      <c r="I16" s="27" t="n">
        <f aca="false">L15</f>
        <v>46758.6563510007</v>
      </c>
      <c r="J16" s="28" t="n">
        <f aca="false">IF(H16&gt;$B$17,0,I16*$B$16/12)</f>
        <v>163.655297228502</v>
      </c>
      <c r="K16" s="28" t="n">
        <f aca="false">IF(H16&gt;$B$17,0,MIN(I16,$B$18-J16))</f>
        <v>876.433307481005</v>
      </c>
      <c r="L16" s="27" t="n">
        <f aca="false">I16-K16</f>
        <v>45882.2230435197</v>
      </c>
    </row>
    <row r="17" customFormat="false" ht="15" hidden="false" customHeight="false" outlineLevel="0" collapsed="false">
      <c r="A17" s="4" t="s">
        <v>193</v>
      </c>
      <c r="B17" s="32" t="n">
        <f aca="false">Hypothèses!$B$26</f>
        <v>60</v>
      </c>
      <c r="G17" s="26" t="n">
        <f aca="false">INT((H17-1)/12)+1</f>
        <v>2</v>
      </c>
      <c r="H17" s="26" t="n">
        <v>13</v>
      </c>
      <c r="I17" s="27" t="n">
        <f aca="false">L16</f>
        <v>45882.2230435197</v>
      </c>
      <c r="J17" s="28" t="n">
        <f aca="false">IF(H17&gt;$B$17,0,I17*$B$16/12)</f>
        <v>160.587780652319</v>
      </c>
      <c r="K17" s="28" t="n">
        <f aca="false">IF(H17&gt;$B$17,0,MIN(I17,$B$18-J17))</f>
        <v>879.500824057189</v>
      </c>
      <c r="L17" s="27" t="n">
        <f aca="false">I17-K17</f>
        <v>45002.7222194625</v>
      </c>
    </row>
    <row r="18" customFormat="false" ht="15" hidden="false" customHeight="false" outlineLevel="0" collapsed="false">
      <c r="A18" s="6" t="s">
        <v>194</v>
      </c>
      <c r="B18" s="33" t="n">
        <f aca="false">IF(B15=0,0,PMT(B16/12,B17,-B15))</f>
        <v>1040.08860470951</v>
      </c>
      <c r="G18" s="26" t="n">
        <f aca="false">INT((H18-1)/12)+1</f>
        <v>2</v>
      </c>
      <c r="H18" s="26" t="n">
        <v>14</v>
      </c>
      <c r="I18" s="27" t="n">
        <f aca="false">L17</f>
        <v>45002.7222194625</v>
      </c>
      <c r="J18" s="28" t="n">
        <f aca="false">IF(H18&gt;$B$17,0,I18*$B$16/12)</f>
        <v>157.509527768119</v>
      </c>
      <c r="K18" s="28" t="n">
        <f aca="false">IF(H18&gt;$B$17,0,MIN(I18,$B$18-J18))</f>
        <v>882.579076941389</v>
      </c>
      <c r="L18" s="27" t="n">
        <f aca="false">I18-K18</f>
        <v>44120.1431425211</v>
      </c>
    </row>
    <row r="19" customFormat="false" ht="15" hidden="false" customHeight="false" outlineLevel="0" collapsed="false">
      <c r="A19" s="4" t="s">
        <v>195</v>
      </c>
      <c r="B19" s="27" t="n">
        <f aca="false">B18*B17-B15</f>
        <v>6205.31628257046</v>
      </c>
      <c r="G19" s="26" t="n">
        <f aca="false">INT((H19-1)/12)+1</f>
        <v>2</v>
      </c>
      <c r="H19" s="26" t="n">
        <v>15</v>
      </c>
      <c r="I19" s="27" t="n">
        <f aca="false">L18</f>
        <v>44120.1431425211</v>
      </c>
      <c r="J19" s="28" t="n">
        <f aca="false">IF(H19&gt;$B$17,0,I19*$B$16/12)</f>
        <v>154.420500998824</v>
      </c>
      <c r="K19" s="28" t="n">
        <f aca="false">IF(H19&gt;$B$17,0,MIN(I19,$B$18-J19))</f>
        <v>885.668103710684</v>
      </c>
      <c r="L19" s="27" t="n">
        <f aca="false">I19-K19</f>
        <v>43234.4750388104</v>
      </c>
    </row>
    <row r="20" customFormat="false" ht="15" hidden="false" customHeight="false" outlineLevel="0" collapsed="false">
      <c r="G20" s="26" t="n">
        <f aca="false">INT((H20-1)/12)+1</f>
        <v>2</v>
      </c>
      <c r="H20" s="26" t="n">
        <v>16</v>
      </c>
      <c r="I20" s="27" t="n">
        <f aca="false">L19</f>
        <v>43234.4750388104</v>
      </c>
      <c r="J20" s="28" t="n">
        <f aca="false">IF(H20&gt;$B$17,0,I20*$B$16/12)</f>
        <v>151.320662635837</v>
      </c>
      <c r="K20" s="28" t="n">
        <f aca="false">IF(H20&gt;$B$17,0,MIN(I20,$B$18-J20))</f>
        <v>888.767942073671</v>
      </c>
      <c r="L20" s="27" t="n">
        <f aca="false">I20-K20</f>
        <v>42345.7070967368</v>
      </c>
    </row>
    <row r="21" customFormat="false" ht="15" hidden="false" customHeight="false" outlineLevel="0" collapsed="false">
      <c r="G21" s="26" t="n">
        <f aca="false">INT((H21-1)/12)+1</f>
        <v>2</v>
      </c>
      <c r="H21" s="26" t="n">
        <v>17</v>
      </c>
      <c r="I21" s="27" t="n">
        <f aca="false">L20</f>
        <v>42345.7070967368</v>
      </c>
      <c r="J21" s="28" t="n">
        <f aca="false">IF(H21&gt;$B$17,0,I21*$B$16/12)</f>
        <v>148.209974838579</v>
      </c>
      <c r="K21" s="28" t="n">
        <f aca="false">IF(H21&gt;$B$17,0,MIN(I21,$B$18-J21))</f>
        <v>891.878629870929</v>
      </c>
      <c r="L21" s="27" t="n">
        <f aca="false">I21-K21</f>
        <v>41453.8284668658</v>
      </c>
    </row>
    <row r="22" customFormat="false" ht="15" hidden="false" customHeight="false" outlineLevel="0" collapsed="false">
      <c r="A22" s="6" t="s">
        <v>196</v>
      </c>
      <c r="G22" s="26" t="n">
        <f aca="false">INT((H22-1)/12)+1</f>
        <v>2</v>
      </c>
      <c r="H22" s="26" t="n">
        <v>18</v>
      </c>
      <c r="I22" s="27" t="n">
        <f aca="false">L21</f>
        <v>41453.8284668658</v>
      </c>
      <c r="J22" s="28" t="n">
        <f aca="false">IF(H22&gt;$B$17,0,I22*$B$16/12)</f>
        <v>145.08839963403</v>
      </c>
      <c r="K22" s="28" t="n">
        <f aca="false">IF(H22&gt;$B$17,0,MIN(I22,$B$18-J22))</f>
        <v>895.000205075477</v>
      </c>
      <c r="L22" s="27" t="n">
        <f aca="false">I22-K22</f>
        <v>40558.8282617904</v>
      </c>
    </row>
    <row r="23" customFormat="false" ht="57.45" hidden="false" customHeight="false" outlineLevel="0" collapsed="false">
      <c r="A23" s="3" t="s">
        <v>175</v>
      </c>
      <c r="B23" s="3" t="s">
        <v>178</v>
      </c>
      <c r="C23" s="3" t="s">
        <v>197</v>
      </c>
      <c r="D23" s="3" t="s">
        <v>198</v>
      </c>
      <c r="G23" s="26" t="n">
        <f aca="false">INT((H23-1)/12)+1</f>
        <v>2</v>
      </c>
      <c r="H23" s="26" t="n">
        <v>19</v>
      </c>
      <c r="I23" s="27" t="n">
        <f aca="false">L22</f>
        <v>40558.8282617904</v>
      </c>
      <c r="J23" s="28" t="n">
        <f aca="false">IF(H23&gt;$B$17,0,I23*$B$16/12)</f>
        <v>141.955898916266</v>
      </c>
      <c r="K23" s="28" t="n">
        <f aca="false">IF(H23&gt;$B$17,0,MIN(I23,$B$18-J23))</f>
        <v>898.132705793242</v>
      </c>
      <c r="L23" s="27" t="n">
        <f aca="false">I23-K23</f>
        <v>39660.6955559971</v>
      </c>
    </row>
    <row r="24" customFormat="false" ht="15" hidden="false" customHeight="false" outlineLevel="0" collapsed="false">
      <c r="A24" s="4" t="s">
        <v>9</v>
      </c>
      <c r="B24" s="27" t="n">
        <f aca="false">SUMIFS($J:$J,$G:$G,1)</f>
        <v>2163.28630003379</v>
      </c>
      <c r="C24" s="27" t="n">
        <f aca="false">SUMIFS($K:$K,$G:$G,1)</f>
        <v>10317.7769564803</v>
      </c>
      <c r="D24" s="27" t="n">
        <f aca="false">IFERROR(INDEX($L:$L,MATCH(1*12,$H:$H,0)),0)</f>
        <v>45882.2230435197</v>
      </c>
      <c r="G24" s="26" t="n">
        <f aca="false">INT((H24-1)/12)+1</f>
        <v>2</v>
      </c>
      <c r="H24" s="26" t="n">
        <v>20</v>
      </c>
      <c r="I24" s="27" t="n">
        <f aca="false">L23</f>
        <v>39660.6955559971</v>
      </c>
      <c r="J24" s="28" t="n">
        <f aca="false">IF(H24&gt;$B$17,0,I24*$B$16/12)</f>
        <v>138.81243444599</v>
      </c>
      <c r="K24" s="28" t="n">
        <f aca="false">IF(H24&gt;$B$17,0,MIN(I24,$B$18-J24))</f>
        <v>901.276170263518</v>
      </c>
      <c r="L24" s="27" t="n">
        <f aca="false">I24-K24</f>
        <v>38759.4193857336</v>
      </c>
    </row>
    <row r="25" customFormat="false" ht="15" hidden="false" customHeight="false" outlineLevel="0" collapsed="false">
      <c r="A25" s="4" t="s">
        <v>10</v>
      </c>
      <c r="B25" s="27" t="n">
        <f aca="false">SUMIFS($J:$J,$G:$G,2)</f>
        <v>1721.49965203752</v>
      </c>
      <c r="C25" s="27" t="n">
        <f aca="false">SUMIFS($K:$K,$G:$G,2)</f>
        <v>10759.5636044766</v>
      </c>
      <c r="D25" s="27" t="n">
        <f aca="false">IFERROR(INDEX($L:$L,MATCH(2*12,$H:$H,0)),0)</f>
        <v>35122.6594390431</v>
      </c>
      <c r="G25" s="26" t="n">
        <f aca="false">INT((H25-1)/12)+1</f>
        <v>2</v>
      </c>
      <c r="H25" s="26" t="n">
        <v>21</v>
      </c>
      <c r="I25" s="27" t="n">
        <f aca="false">L24</f>
        <v>38759.4193857336</v>
      </c>
      <c r="J25" s="28" t="n">
        <f aca="false">IF(H25&gt;$B$17,0,I25*$B$16/12)</f>
        <v>135.657967850068</v>
      </c>
      <c r="K25" s="28" t="n">
        <f aca="false">IF(H25&gt;$B$17,0,MIN(I25,$B$18-J25))</f>
        <v>904.43063685944</v>
      </c>
      <c r="L25" s="27" t="n">
        <f aca="false">I25-K25</f>
        <v>37854.9887488742</v>
      </c>
    </row>
    <row r="26" customFormat="false" ht="15" hidden="false" customHeight="false" outlineLevel="0" collapsed="false">
      <c r="A26" s="4" t="s">
        <v>11</v>
      </c>
      <c r="B26" s="27" t="n">
        <f aca="false">SUMIFS($J:$J,$G:$G,3)</f>
        <v>1260.79658016709</v>
      </c>
      <c r="C26" s="27" t="n">
        <f aca="false">SUMIFS($K:$K,$G:$G,3)</f>
        <v>11220.266676347</v>
      </c>
      <c r="D26" s="27" t="n">
        <f aca="false">IFERROR(INDEX($L:$L,MATCH(3*12,$H:$H,0)),0)</f>
        <v>23902.3927626961</v>
      </c>
      <c r="G26" s="26" t="n">
        <f aca="false">INT((H26-1)/12)+1</f>
        <v>2</v>
      </c>
      <c r="H26" s="26" t="n">
        <v>22</v>
      </c>
      <c r="I26" s="27" t="n">
        <f aca="false">L25</f>
        <v>37854.9887488742</v>
      </c>
      <c r="J26" s="28" t="n">
        <f aca="false">IF(H26&gt;$B$17,0,I26*$B$16/12)</f>
        <v>132.49246062106</v>
      </c>
      <c r="K26" s="28" t="n">
        <f aca="false">IF(H26&gt;$B$17,0,MIN(I26,$B$18-J26))</f>
        <v>907.596144088448</v>
      </c>
      <c r="L26" s="27" t="n">
        <f aca="false">I26-K26</f>
        <v>36947.3926047857</v>
      </c>
    </row>
    <row r="27" customFormat="false" ht="15" hidden="false" customHeight="false" outlineLevel="0" collapsed="false">
      <c r="A27" s="4" t="s">
        <v>199</v>
      </c>
      <c r="B27" s="27" t="n">
        <f aca="false">SUMIFS($J:$J,$G:$G,4)</f>
        <v>780.367120848889</v>
      </c>
      <c r="C27" s="27" t="n">
        <f aca="false">SUMIFS($K:$K,$G:$G,4)</f>
        <v>11700.6961356652</v>
      </c>
      <c r="D27" s="27" t="n">
        <f aca="false">IFERROR(INDEX($L:$L,MATCH(4*12,$H:$H,0)),0)</f>
        <v>12201.6966270309</v>
      </c>
      <c r="G27" s="26" t="n">
        <f aca="false">INT((H27-1)/12)+1</f>
        <v>2</v>
      </c>
      <c r="H27" s="26" t="n">
        <v>23</v>
      </c>
      <c r="I27" s="27" t="n">
        <f aca="false">L26</f>
        <v>36947.3926047857</v>
      </c>
      <c r="J27" s="28" t="n">
        <f aca="false">IF(H27&gt;$B$17,0,I27*$B$16/12)</f>
        <v>129.31587411675</v>
      </c>
      <c r="K27" s="28" t="n">
        <f aca="false">IF(H27&gt;$B$17,0,MIN(I27,$B$18-J27))</f>
        <v>910.772730592758</v>
      </c>
      <c r="L27" s="27" t="n">
        <f aca="false">I27-K27</f>
        <v>36036.619874193</v>
      </c>
    </row>
    <row r="28" customFormat="false" ht="15" hidden="false" customHeight="false" outlineLevel="0" collapsed="false">
      <c r="A28" s="4" t="s">
        <v>200</v>
      </c>
      <c r="B28" s="27" t="n">
        <f aca="false">SUMIFS($J:$J,$G:$G,5)</f>
        <v>279.366629483176</v>
      </c>
      <c r="C28" s="27" t="n">
        <f aca="false">SUMIFS($K:$K,$G:$G,5)</f>
        <v>12201.6966270309</v>
      </c>
      <c r="D28" s="27" t="n">
        <f aca="false">IFERROR(INDEX($L:$L,MATCH(5*12,$H:$H,0)),0)</f>
        <v>0</v>
      </c>
      <c r="G28" s="26" t="n">
        <f aca="false">INT((H28-1)/12)+1</f>
        <v>2</v>
      </c>
      <c r="H28" s="26" t="n">
        <v>24</v>
      </c>
      <c r="I28" s="27" t="n">
        <f aca="false">L27</f>
        <v>36036.619874193</v>
      </c>
      <c r="J28" s="28" t="n">
        <f aca="false">IF(H28&gt;$B$17,0,I28*$B$16/12)</f>
        <v>126.128169559675</v>
      </c>
      <c r="K28" s="28" t="n">
        <f aca="false">IF(H28&gt;$B$17,0,MIN(I28,$B$18-J28))</f>
        <v>913.960435149832</v>
      </c>
      <c r="L28" s="27" t="n">
        <f aca="false">I28-K28</f>
        <v>35122.6594390431</v>
      </c>
    </row>
    <row r="29" customFormat="false" ht="15" hidden="false" customHeight="false" outlineLevel="0" collapsed="false">
      <c r="G29" s="26" t="n">
        <f aca="false">INT((H29-1)/12)+1</f>
        <v>3</v>
      </c>
      <c r="H29" s="26" t="n">
        <v>25</v>
      </c>
      <c r="I29" s="27" t="n">
        <f aca="false">L28</f>
        <v>35122.6594390431</v>
      </c>
      <c r="J29" s="28" t="n">
        <f aca="false">IF(H29&gt;$B$17,0,I29*$B$16/12)</f>
        <v>122.929308036651</v>
      </c>
      <c r="K29" s="28" t="n">
        <f aca="false">IF(H29&gt;$B$17,0,MIN(I29,$B$18-J29))</f>
        <v>917.159296672857</v>
      </c>
      <c r="L29" s="27" t="n">
        <f aca="false">I29-K29</f>
        <v>34205.5001423703</v>
      </c>
    </row>
    <row r="30" customFormat="false" ht="15" hidden="false" customHeight="false" outlineLevel="0" collapsed="false">
      <c r="G30" s="26" t="n">
        <f aca="false">INT((H30-1)/12)+1</f>
        <v>3</v>
      </c>
      <c r="H30" s="26" t="n">
        <v>26</v>
      </c>
      <c r="I30" s="27" t="n">
        <f aca="false">L29</f>
        <v>34205.5001423703</v>
      </c>
      <c r="J30" s="28" t="n">
        <f aca="false">IF(H30&gt;$B$17,0,I30*$B$16/12)</f>
        <v>119.719250498296</v>
      </c>
      <c r="K30" s="28" t="n">
        <f aca="false">IF(H30&gt;$B$17,0,MIN(I30,$B$18-J30))</f>
        <v>920.369354211212</v>
      </c>
      <c r="L30" s="27" t="n">
        <f aca="false">I30-K30</f>
        <v>33285.1307881591</v>
      </c>
    </row>
    <row r="31" customFormat="false" ht="15" hidden="false" customHeight="false" outlineLevel="0" collapsed="false">
      <c r="G31" s="26" t="n">
        <f aca="false">INT((H31-1)/12)+1</f>
        <v>3</v>
      </c>
      <c r="H31" s="26" t="n">
        <v>27</v>
      </c>
      <c r="I31" s="27" t="n">
        <f aca="false">L30</f>
        <v>33285.1307881591</v>
      </c>
      <c r="J31" s="28" t="n">
        <f aca="false">IF(H31&gt;$B$17,0,I31*$B$16/12)</f>
        <v>116.497957758557</v>
      </c>
      <c r="K31" s="28" t="n">
        <f aca="false">IF(H31&gt;$B$17,0,MIN(I31,$B$18-J31))</f>
        <v>923.590646950951</v>
      </c>
      <c r="L31" s="27" t="n">
        <f aca="false">I31-K31</f>
        <v>32361.5401412081</v>
      </c>
    </row>
    <row r="32" customFormat="false" ht="15" hidden="false" customHeight="false" outlineLevel="0" collapsed="false">
      <c r="G32" s="26" t="n">
        <f aca="false">INT((H32-1)/12)+1</f>
        <v>3</v>
      </c>
      <c r="H32" s="26" t="n">
        <v>28</v>
      </c>
      <c r="I32" s="27" t="n">
        <f aca="false">L31</f>
        <v>32361.5401412081</v>
      </c>
      <c r="J32" s="28" t="n">
        <f aca="false">IF(H32&gt;$B$17,0,I32*$B$16/12)</f>
        <v>113.265390494228</v>
      </c>
      <c r="K32" s="28" t="n">
        <f aca="false">IF(H32&gt;$B$17,0,MIN(I32,$B$18-J32))</f>
        <v>926.823214215279</v>
      </c>
      <c r="L32" s="27" t="n">
        <f aca="false">I32-K32</f>
        <v>31434.7169269928</v>
      </c>
    </row>
    <row r="33" customFormat="false" ht="15" hidden="false" customHeight="false" outlineLevel="0" collapsed="false">
      <c r="G33" s="26" t="n">
        <f aca="false">INT((H33-1)/12)+1</f>
        <v>3</v>
      </c>
      <c r="H33" s="26" t="n">
        <v>29</v>
      </c>
      <c r="I33" s="27" t="n">
        <f aca="false">L32</f>
        <v>31434.7169269928</v>
      </c>
      <c r="J33" s="28" t="n">
        <f aca="false">IF(H33&gt;$B$17,0,I33*$B$16/12)</f>
        <v>110.021509244475</v>
      </c>
      <c r="K33" s="28" t="n">
        <f aca="false">IF(H33&gt;$B$17,0,MIN(I33,$B$18-J33))</f>
        <v>930.067095465033</v>
      </c>
      <c r="L33" s="27" t="n">
        <f aca="false">I33-K33</f>
        <v>30504.6498315278</v>
      </c>
    </row>
    <row r="34" customFormat="false" ht="15" hidden="false" customHeight="false" outlineLevel="0" collapsed="false">
      <c r="G34" s="26" t="n">
        <f aca="false">INT((H34-1)/12)+1</f>
        <v>3</v>
      </c>
      <c r="H34" s="26" t="n">
        <v>30</v>
      </c>
      <c r="I34" s="27" t="n">
        <f aca="false">L33</f>
        <v>30504.6498315278</v>
      </c>
      <c r="J34" s="28" t="n">
        <f aca="false">IF(H34&gt;$B$17,0,I34*$B$16/12)</f>
        <v>106.766274410347</v>
      </c>
      <c r="K34" s="28" t="n">
        <f aca="false">IF(H34&gt;$B$17,0,MIN(I34,$B$18-J34))</f>
        <v>933.322330299161</v>
      </c>
      <c r="L34" s="27" t="n">
        <f aca="false">I34-K34</f>
        <v>29571.3275012286</v>
      </c>
    </row>
    <row r="35" customFormat="false" ht="15" hidden="false" customHeight="false" outlineLevel="0" collapsed="false">
      <c r="G35" s="26" t="n">
        <f aca="false">INT((H35-1)/12)+1</f>
        <v>3</v>
      </c>
      <c r="H35" s="26" t="n">
        <v>31</v>
      </c>
      <c r="I35" s="27" t="n">
        <f aca="false">L34</f>
        <v>29571.3275012286</v>
      </c>
      <c r="J35" s="28" t="n">
        <f aca="false">IF(H35&gt;$B$17,0,I35*$B$16/12)</f>
        <v>103.4996462543</v>
      </c>
      <c r="K35" s="28" t="n">
        <f aca="false">IF(H35&gt;$B$17,0,MIN(I35,$B$18-J35))</f>
        <v>936.588958455208</v>
      </c>
      <c r="L35" s="27" t="n">
        <f aca="false">I35-K35</f>
        <v>28634.7385427734</v>
      </c>
    </row>
    <row r="36" customFormat="false" ht="15" hidden="false" customHeight="false" outlineLevel="0" collapsed="false">
      <c r="G36" s="26" t="n">
        <f aca="false">INT((H36-1)/12)+1</f>
        <v>3</v>
      </c>
      <c r="H36" s="26" t="n">
        <v>32</v>
      </c>
      <c r="I36" s="27" t="n">
        <f aca="false">L35</f>
        <v>28634.7385427734</v>
      </c>
      <c r="J36" s="28" t="n">
        <f aca="false">IF(H36&gt;$B$17,0,I36*$B$16/12)</f>
        <v>100.221584899707</v>
      </c>
      <c r="K36" s="28" t="n">
        <f aca="false">IF(H36&gt;$B$17,0,MIN(I36,$B$18-J36))</f>
        <v>939.867019809801</v>
      </c>
      <c r="L36" s="27" t="n">
        <f aca="false">I36-K36</f>
        <v>27694.8715229636</v>
      </c>
    </row>
    <row r="37" customFormat="false" ht="15" hidden="false" customHeight="false" outlineLevel="0" collapsed="false">
      <c r="G37" s="26" t="n">
        <f aca="false">INT((H37-1)/12)+1</f>
        <v>3</v>
      </c>
      <c r="H37" s="26" t="n">
        <v>33</v>
      </c>
      <c r="I37" s="27" t="n">
        <f aca="false">L36</f>
        <v>27694.8715229636</v>
      </c>
      <c r="J37" s="28" t="n">
        <f aca="false">IF(H37&gt;$B$17,0,I37*$B$16/12)</f>
        <v>96.9320503303727</v>
      </c>
      <c r="K37" s="28" t="n">
        <f aca="false">IF(H37&gt;$B$17,0,MIN(I37,$B$18-J37))</f>
        <v>943.156554379135</v>
      </c>
      <c r="L37" s="27" t="n">
        <f aca="false">I37-K37</f>
        <v>26751.7149685845</v>
      </c>
    </row>
    <row r="38" customFormat="false" ht="15" hidden="false" customHeight="false" outlineLevel="0" collapsed="false">
      <c r="G38" s="26" t="n">
        <f aca="false">INT((H38-1)/12)+1</f>
        <v>3</v>
      </c>
      <c r="H38" s="26" t="n">
        <v>34</v>
      </c>
      <c r="I38" s="27" t="n">
        <f aca="false">L37</f>
        <v>26751.7149685845</v>
      </c>
      <c r="J38" s="28" t="n">
        <f aca="false">IF(H38&gt;$B$17,0,I38*$B$16/12)</f>
        <v>93.6310023900457</v>
      </c>
      <c r="K38" s="28" t="n">
        <f aca="false">IF(H38&gt;$B$17,0,MIN(I38,$B$18-J38))</f>
        <v>946.457602319462</v>
      </c>
      <c r="L38" s="27" t="n">
        <f aca="false">I38-K38</f>
        <v>25805.257366265</v>
      </c>
    </row>
    <row r="39" customFormat="false" ht="15" hidden="false" customHeight="false" outlineLevel="0" collapsed="false">
      <c r="G39" s="26" t="n">
        <f aca="false">INT((H39-1)/12)+1</f>
        <v>3</v>
      </c>
      <c r="H39" s="26" t="n">
        <v>35</v>
      </c>
      <c r="I39" s="27" t="n">
        <f aca="false">L38</f>
        <v>25805.257366265</v>
      </c>
      <c r="J39" s="28" t="n">
        <f aca="false">IF(H39&gt;$B$17,0,I39*$B$16/12)</f>
        <v>90.3184007819276</v>
      </c>
      <c r="K39" s="28" t="n">
        <f aca="false">IF(H39&gt;$B$17,0,MIN(I39,$B$18-J39))</f>
        <v>949.77020392758</v>
      </c>
      <c r="L39" s="27" t="n">
        <f aca="false">I39-K39</f>
        <v>24855.4871623374</v>
      </c>
    </row>
    <row r="40" customFormat="false" ht="15" hidden="false" customHeight="false" outlineLevel="0" collapsed="false">
      <c r="G40" s="26" t="n">
        <f aca="false">INT((H40-1)/12)+1</f>
        <v>3</v>
      </c>
      <c r="H40" s="26" t="n">
        <v>36</v>
      </c>
      <c r="I40" s="27" t="n">
        <f aca="false">L39</f>
        <v>24855.4871623374</v>
      </c>
      <c r="J40" s="28" t="n">
        <f aca="false">IF(H40&gt;$B$17,0,I40*$B$16/12)</f>
        <v>86.994205068181</v>
      </c>
      <c r="K40" s="28" t="n">
        <f aca="false">IF(H40&gt;$B$17,0,MIN(I40,$B$18-J40))</f>
        <v>953.094399641327</v>
      </c>
      <c r="L40" s="27" t="n">
        <f aca="false">I40-K40</f>
        <v>23902.3927626961</v>
      </c>
    </row>
    <row r="41" customFormat="false" ht="15" hidden="false" customHeight="false" outlineLevel="0" collapsed="false">
      <c r="G41" s="26" t="n">
        <f aca="false">INT((H41-1)/12)+1</f>
        <v>4</v>
      </c>
      <c r="H41" s="26" t="n">
        <v>37</v>
      </c>
      <c r="I41" s="27" t="n">
        <f aca="false">L40</f>
        <v>23902.3927626961</v>
      </c>
      <c r="J41" s="28" t="n">
        <f aca="false">IF(H41&gt;$B$17,0,I41*$B$16/12)</f>
        <v>83.6583746694364</v>
      </c>
      <c r="K41" s="28" t="n">
        <f aca="false">IF(H41&gt;$B$17,0,MIN(I41,$B$18-J41))</f>
        <v>956.430230040071</v>
      </c>
      <c r="L41" s="27" t="n">
        <f aca="false">I41-K41</f>
        <v>22945.962532656</v>
      </c>
    </row>
    <row r="42" customFormat="false" ht="15" hidden="false" customHeight="false" outlineLevel="0" collapsed="false">
      <c r="G42" s="26" t="n">
        <f aca="false">INT((H42-1)/12)+1</f>
        <v>4</v>
      </c>
      <c r="H42" s="26" t="n">
        <v>38</v>
      </c>
      <c r="I42" s="27" t="n">
        <f aca="false">L41</f>
        <v>22945.962532656</v>
      </c>
      <c r="J42" s="28" t="n">
        <f aca="false">IF(H42&gt;$B$17,0,I42*$B$16/12)</f>
        <v>80.3108688642962</v>
      </c>
      <c r="K42" s="28" t="n">
        <f aca="false">IF(H42&gt;$B$17,0,MIN(I42,$B$18-J42))</f>
        <v>959.777735845212</v>
      </c>
      <c r="L42" s="27" t="n">
        <f aca="false">I42-K42</f>
        <v>21986.1847968108</v>
      </c>
    </row>
    <row r="43" customFormat="false" ht="15" hidden="false" customHeight="false" outlineLevel="0" collapsed="false">
      <c r="G43" s="26" t="n">
        <f aca="false">INT((H43-1)/12)+1</f>
        <v>4</v>
      </c>
      <c r="H43" s="26" t="n">
        <v>39</v>
      </c>
      <c r="I43" s="27" t="n">
        <f aca="false">L42</f>
        <v>21986.1847968108</v>
      </c>
      <c r="J43" s="28" t="n">
        <f aca="false">IF(H43&gt;$B$17,0,I43*$B$16/12)</f>
        <v>76.9516467888379</v>
      </c>
      <c r="K43" s="28" t="n">
        <f aca="false">IF(H43&gt;$B$17,0,MIN(I43,$B$18-J43))</f>
        <v>963.13695792067</v>
      </c>
      <c r="L43" s="27" t="n">
        <f aca="false">I43-K43</f>
        <v>21023.0478388902</v>
      </c>
    </row>
    <row r="44" customFormat="false" ht="15" hidden="false" customHeight="false" outlineLevel="0" collapsed="false">
      <c r="G44" s="26" t="n">
        <f aca="false">INT((H44-1)/12)+1</f>
        <v>4</v>
      </c>
      <c r="H44" s="26" t="n">
        <v>40</v>
      </c>
      <c r="I44" s="27" t="n">
        <f aca="false">L43</f>
        <v>21023.0478388902</v>
      </c>
      <c r="J44" s="28" t="n">
        <f aca="false">IF(H44&gt;$B$17,0,I44*$B$16/12)</f>
        <v>73.5806674361156</v>
      </c>
      <c r="K44" s="28" t="n">
        <f aca="false">IF(H44&gt;$B$17,0,MIN(I44,$B$18-J44))</f>
        <v>966.507937273392</v>
      </c>
      <c r="L44" s="27" t="n">
        <f aca="false">I44-K44</f>
        <v>20056.5399016168</v>
      </c>
    </row>
    <row r="45" customFormat="false" ht="15" hidden="false" customHeight="false" outlineLevel="0" collapsed="false">
      <c r="G45" s="26" t="n">
        <f aca="false">INT((H45-1)/12)+1</f>
        <v>4</v>
      </c>
      <c r="H45" s="26" t="n">
        <v>41</v>
      </c>
      <c r="I45" s="27" t="n">
        <f aca="false">L44</f>
        <v>20056.5399016168</v>
      </c>
      <c r="J45" s="28" t="n">
        <f aca="false">IF(H45&gt;$B$17,0,I45*$B$16/12)</f>
        <v>70.1978896556587</v>
      </c>
      <c r="K45" s="28" t="n">
        <f aca="false">IF(H45&gt;$B$17,0,MIN(I45,$B$18-J45))</f>
        <v>969.890715053849</v>
      </c>
      <c r="L45" s="27" t="n">
        <f aca="false">I45-K45</f>
        <v>19086.6491865629</v>
      </c>
    </row>
    <row r="46" customFormat="false" ht="15" hidden="false" customHeight="false" outlineLevel="0" collapsed="false">
      <c r="G46" s="26" t="n">
        <f aca="false">INT((H46-1)/12)+1</f>
        <v>4</v>
      </c>
      <c r="H46" s="26" t="n">
        <v>42</v>
      </c>
      <c r="I46" s="27" t="n">
        <f aca="false">L45</f>
        <v>19086.6491865629</v>
      </c>
      <c r="J46" s="28" t="n">
        <f aca="false">IF(H46&gt;$B$17,0,I46*$B$16/12)</f>
        <v>66.8032721529702</v>
      </c>
      <c r="K46" s="28" t="n">
        <f aca="false">IF(H46&gt;$B$17,0,MIN(I46,$B$18-J46))</f>
        <v>973.285332556538</v>
      </c>
      <c r="L46" s="27" t="n">
        <f aca="false">I46-K46</f>
        <v>18113.3638540064</v>
      </c>
    </row>
    <row r="47" customFormat="false" ht="15" hidden="false" customHeight="false" outlineLevel="0" collapsed="false">
      <c r="G47" s="26" t="n">
        <f aca="false">INT((H47-1)/12)+1</f>
        <v>4</v>
      </c>
      <c r="H47" s="26" t="n">
        <v>43</v>
      </c>
      <c r="I47" s="27" t="n">
        <f aca="false">L46</f>
        <v>18113.3638540064</v>
      </c>
      <c r="J47" s="28" t="n">
        <f aca="false">IF(H47&gt;$B$17,0,I47*$B$16/12)</f>
        <v>63.3967734890223</v>
      </c>
      <c r="K47" s="28" t="n">
        <f aca="false">IF(H47&gt;$B$17,0,MIN(I47,$B$18-J47))</f>
        <v>976.691831220486</v>
      </c>
      <c r="L47" s="27" t="n">
        <f aca="false">I47-K47</f>
        <v>17136.6720227859</v>
      </c>
    </row>
    <row r="48" customFormat="false" ht="15" hidden="false" customHeight="false" outlineLevel="0" collapsed="false">
      <c r="G48" s="26" t="n">
        <f aca="false">INT((H48-1)/12)+1</f>
        <v>4</v>
      </c>
      <c r="H48" s="26" t="n">
        <v>44</v>
      </c>
      <c r="I48" s="27" t="n">
        <f aca="false">L47</f>
        <v>17136.6720227859</v>
      </c>
      <c r="J48" s="28" t="n">
        <f aca="false">IF(H48&gt;$B$17,0,I48*$B$16/12)</f>
        <v>59.9783520797506</v>
      </c>
      <c r="K48" s="28" t="n">
        <f aca="false">IF(H48&gt;$B$17,0,MIN(I48,$B$18-J48))</f>
        <v>980.110252629757</v>
      </c>
      <c r="L48" s="27" t="n">
        <f aca="false">I48-K48</f>
        <v>16156.5617701561</v>
      </c>
    </row>
    <row r="49" customFormat="false" ht="15" hidden="false" customHeight="false" outlineLevel="0" collapsed="false">
      <c r="G49" s="26" t="n">
        <f aca="false">INT((H49-1)/12)+1</f>
        <v>4</v>
      </c>
      <c r="H49" s="26" t="n">
        <v>45</v>
      </c>
      <c r="I49" s="27" t="n">
        <f aca="false">L48</f>
        <v>16156.5617701561</v>
      </c>
      <c r="J49" s="28" t="n">
        <f aca="false">IF(H49&gt;$B$17,0,I49*$B$16/12)</f>
        <v>56.5479661955465</v>
      </c>
      <c r="K49" s="28" t="n">
        <f aca="false">IF(H49&gt;$B$17,0,MIN(I49,$B$18-J49))</f>
        <v>983.540638513961</v>
      </c>
      <c r="L49" s="27" t="n">
        <f aca="false">I49-K49</f>
        <v>15173.0211316422</v>
      </c>
    </row>
    <row r="50" customFormat="false" ht="15" hidden="false" customHeight="false" outlineLevel="0" collapsed="false">
      <c r="G50" s="26" t="n">
        <f aca="false">INT((H50-1)/12)+1</f>
        <v>4</v>
      </c>
      <c r="H50" s="26" t="n">
        <v>46</v>
      </c>
      <c r="I50" s="27" t="n">
        <f aca="false">L49</f>
        <v>15173.0211316422</v>
      </c>
      <c r="J50" s="28" t="n">
        <f aca="false">IF(H50&gt;$B$17,0,I50*$B$16/12)</f>
        <v>53.1055739607476</v>
      </c>
      <c r="K50" s="28" t="n">
        <f aca="false">IF(H50&gt;$B$17,0,MIN(I50,$B$18-J50))</f>
        <v>986.98303074876</v>
      </c>
      <c r="L50" s="27" t="n">
        <f aca="false">I50-K50</f>
        <v>14186.0381008934</v>
      </c>
    </row>
    <row r="51" customFormat="false" ht="15" hidden="false" customHeight="false" outlineLevel="0" collapsed="false">
      <c r="G51" s="26" t="n">
        <f aca="false">INT((H51-1)/12)+1</f>
        <v>4</v>
      </c>
      <c r="H51" s="26" t="n">
        <v>47</v>
      </c>
      <c r="I51" s="27" t="n">
        <f aca="false">L50</f>
        <v>14186.0381008934</v>
      </c>
      <c r="J51" s="28" t="n">
        <f aca="false">IF(H51&gt;$B$17,0,I51*$B$16/12)</f>
        <v>49.651133353127</v>
      </c>
      <c r="K51" s="28" t="n">
        <f aca="false">IF(H51&gt;$B$17,0,MIN(I51,$B$18-J51))</f>
        <v>990.437471356381</v>
      </c>
      <c r="L51" s="27" t="n">
        <f aca="false">I51-K51</f>
        <v>13195.600629537</v>
      </c>
    </row>
    <row r="52" customFormat="false" ht="15" hidden="false" customHeight="false" outlineLevel="0" collapsed="false">
      <c r="G52" s="26" t="n">
        <f aca="false">INT((H52-1)/12)+1</f>
        <v>4</v>
      </c>
      <c r="H52" s="26" t="n">
        <v>48</v>
      </c>
      <c r="I52" s="27" t="n">
        <f aca="false">L51</f>
        <v>13195.600629537</v>
      </c>
      <c r="J52" s="28" t="n">
        <f aca="false">IF(H52&gt;$B$17,0,I52*$B$16/12)</f>
        <v>46.1846022033796</v>
      </c>
      <c r="K52" s="28" t="n">
        <f aca="false">IF(H52&gt;$B$17,0,MIN(I52,$B$18-J52))</f>
        <v>993.904002506128</v>
      </c>
      <c r="L52" s="27" t="n">
        <f aca="false">I52-K52</f>
        <v>12201.6966270309</v>
      </c>
    </row>
    <row r="53" customFormat="false" ht="15" hidden="false" customHeight="false" outlineLevel="0" collapsed="false">
      <c r="G53" s="26" t="n">
        <f aca="false">INT((H53-1)/12)+1</f>
        <v>5</v>
      </c>
      <c r="H53" s="26" t="n">
        <v>49</v>
      </c>
      <c r="I53" s="27" t="n">
        <f aca="false">L52</f>
        <v>12201.6966270309</v>
      </c>
      <c r="J53" s="28" t="n">
        <f aca="false">IF(H53&gt;$B$17,0,I53*$B$16/12)</f>
        <v>42.7059381946082</v>
      </c>
      <c r="K53" s="28" t="n">
        <f aca="false">IF(H53&gt;$B$17,0,MIN(I53,$B$18-J53))</f>
        <v>997.3826665149</v>
      </c>
      <c r="L53" s="27" t="n">
        <f aca="false">I53-K53</f>
        <v>11204.313960516</v>
      </c>
    </row>
    <row r="54" customFormat="false" ht="15" hidden="false" customHeight="false" outlineLevel="0" collapsed="false">
      <c r="G54" s="26" t="n">
        <f aca="false">INT((H54-1)/12)+1</f>
        <v>5</v>
      </c>
      <c r="H54" s="26" t="n">
        <v>50</v>
      </c>
      <c r="I54" s="27" t="n">
        <f aca="false">L53</f>
        <v>11204.313960516</v>
      </c>
      <c r="J54" s="28" t="n">
        <f aca="false">IF(H54&gt;$B$17,0,I54*$B$16/12)</f>
        <v>39.215098861806</v>
      </c>
      <c r="K54" s="28" t="n">
        <f aca="false">IF(H54&gt;$B$17,0,MIN(I54,$B$18-J54))</f>
        <v>1000.8735058477</v>
      </c>
      <c r="L54" s="27" t="n">
        <f aca="false">I54-K54</f>
        <v>10203.4404546683</v>
      </c>
    </row>
    <row r="55" customFormat="false" ht="15" hidden="false" customHeight="false" outlineLevel="0" collapsed="false">
      <c r="G55" s="26" t="n">
        <f aca="false">INT((H55-1)/12)+1</f>
        <v>5</v>
      </c>
      <c r="H55" s="26" t="n">
        <v>51</v>
      </c>
      <c r="I55" s="27" t="n">
        <f aca="false">L54</f>
        <v>10203.4404546683</v>
      </c>
      <c r="J55" s="28" t="n">
        <f aca="false">IF(H55&gt;$B$17,0,I55*$B$16/12)</f>
        <v>35.7120415913391</v>
      </c>
      <c r="K55" s="28" t="n">
        <f aca="false">IF(H55&gt;$B$17,0,MIN(I55,$B$18-J55))</f>
        <v>1004.37656311817</v>
      </c>
      <c r="L55" s="27" t="n">
        <f aca="false">I55-K55</f>
        <v>9199.06389155014</v>
      </c>
    </row>
    <row r="56" customFormat="false" ht="15" hidden="false" customHeight="false" outlineLevel="0" collapsed="false">
      <c r="G56" s="26" t="n">
        <f aca="false">INT((H56-1)/12)+1</f>
        <v>5</v>
      </c>
      <c r="H56" s="26" t="n">
        <v>52</v>
      </c>
      <c r="I56" s="27" t="n">
        <f aca="false">L55</f>
        <v>9199.06389155014</v>
      </c>
      <c r="J56" s="28" t="n">
        <f aca="false">IF(H56&gt;$B$17,0,I56*$B$16/12)</f>
        <v>32.1967236204255</v>
      </c>
      <c r="K56" s="28" t="n">
        <f aca="false">IF(H56&gt;$B$17,0,MIN(I56,$B$18-J56))</f>
        <v>1007.89188108908</v>
      </c>
      <c r="L56" s="27" t="n">
        <f aca="false">I56-K56</f>
        <v>8191.17201046105</v>
      </c>
    </row>
    <row r="57" customFormat="false" ht="15" hidden="false" customHeight="false" outlineLevel="0" collapsed="false">
      <c r="G57" s="26" t="n">
        <f aca="false">INT((H57-1)/12)+1</f>
        <v>5</v>
      </c>
      <c r="H57" s="26" t="n">
        <v>53</v>
      </c>
      <c r="I57" s="27" t="n">
        <f aca="false">L56</f>
        <v>8191.17201046105</v>
      </c>
      <c r="J57" s="28" t="n">
        <f aca="false">IF(H57&gt;$B$17,0,I57*$B$16/12)</f>
        <v>28.6691020366137</v>
      </c>
      <c r="K57" s="28" t="n">
        <f aca="false">IF(H57&gt;$B$17,0,MIN(I57,$B$18-J57))</f>
        <v>1011.41950267289</v>
      </c>
      <c r="L57" s="27" t="n">
        <f aca="false">I57-K57</f>
        <v>7179.75250778816</v>
      </c>
    </row>
    <row r="58" customFormat="false" ht="15" hidden="false" customHeight="false" outlineLevel="0" collapsed="false">
      <c r="G58" s="26" t="n">
        <f aca="false">INT((H58-1)/12)+1</f>
        <v>5</v>
      </c>
      <c r="H58" s="26" t="n">
        <v>54</v>
      </c>
      <c r="I58" s="27" t="n">
        <f aca="false">L57</f>
        <v>7179.75250778816</v>
      </c>
      <c r="J58" s="28" t="n">
        <f aca="false">IF(H58&gt;$B$17,0,I58*$B$16/12)</f>
        <v>25.1291337772586</v>
      </c>
      <c r="K58" s="28" t="n">
        <f aca="false">IF(H58&gt;$B$17,0,MIN(I58,$B$18-J58))</f>
        <v>1014.95947093225</v>
      </c>
      <c r="L58" s="27" t="n">
        <f aca="false">I58-K58</f>
        <v>6164.79303685591</v>
      </c>
    </row>
    <row r="59" customFormat="false" ht="15" hidden="false" customHeight="false" outlineLevel="0" collapsed="false">
      <c r="G59" s="26" t="n">
        <f aca="false">INT((H59-1)/12)+1</f>
        <v>5</v>
      </c>
      <c r="H59" s="26" t="n">
        <v>55</v>
      </c>
      <c r="I59" s="27" t="n">
        <f aca="false">L58</f>
        <v>6164.79303685591</v>
      </c>
      <c r="J59" s="28" t="n">
        <f aca="false">IF(H59&gt;$B$17,0,I59*$B$16/12)</f>
        <v>21.5767756289957</v>
      </c>
      <c r="K59" s="28" t="n">
        <f aca="false">IF(H59&gt;$B$17,0,MIN(I59,$B$18-J59))</f>
        <v>1018.51182908051</v>
      </c>
      <c r="L59" s="27" t="n">
        <f aca="false">I59-K59</f>
        <v>5146.2812077754</v>
      </c>
    </row>
    <row r="60" customFormat="false" ht="15" hidden="false" customHeight="false" outlineLevel="0" collapsed="false">
      <c r="G60" s="26" t="n">
        <f aca="false">INT((H60-1)/12)+1</f>
        <v>5</v>
      </c>
      <c r="H60" s="26" t="n">
        <v>56</v>
      </c>
      <c r="I60" s="27" t="n">
        <f aca="false">L59</f>
        <v>5146.2812077754</v>
      </c>
      <c r="J60" s="28" t="n">
        <f aca="false">IF(H60&gt;$B$17,0,I60*$B$16/12)</f>
        <v>18.0119842272139</v>
      </c>
      <c r="K60" s="28" t="n">
        <f aca="false">IF(H60&gt;$B$17,0,MIN(I60,$B$18-J60))</f>
        <v>1022.07662048229</v>
      </c>
      <c r="L60" s="27" t="n">
        <f aca="false">I60-K60</f>
        <v>4124.20458729311</v>
      </c>
    </row>
    <row r="61" customFormat="false" ht="15" hidden="false" customHeight="false" outlineLevel="0" collapsed="false">
      <c r="G61" s="26" t="n">
        <f aca="false">INT((H61-1)/12)+1</f>
        <v>5</v>
      </c>
      <c r="H61" s="26" t="n">
        <v>57</v>
      </c>
      <c r="I61" s="27" t="n">
        <f aca="false">L60</f>
        <v>4124.20458729311</v>
      </c>
      <c r="J61" s="28" t="n">
        <f aca="false">IF(H61&gt;$B$17,0,I61*$B$16/12)</f>
        <v>14.4347160555259</v>
      </c>
      <c r="K61" s="28" t="n">
        <f aca="false">IF(H61&gt;$B$17,0,MIN(I61,$B$18-J61))</f>
        <v>1025.65388865398</v>
      </c>
      <c r="L61" s="27" t="n">
        <f aca="false">I61-K61</f>
        <v>3098.55069863912</v>
      </c>
    </row>
    <row r="62" customFormat="false" ht="15" hidden="false" customHeight="false" outlineLevel="0" collapsed="false">
      <c r="G62" s="26" t="n">
        <f aca="false">INT((H62-1)/12)+1</f>
        <v>5</v>
      </c>
      <c r="H62" s="26" t="n">
        <v>58</v>
      </c>
      <c r="I62" s="27" t="n">
        <f aca="false">L61</f>
        <v>3098.55069863912</v>
      </c>
      <c r="J62" s="28" t="n">
        <f aca="false">IF(H62&gt;$B$17,0,I62*$B$16/12)</f>
        <v>10.8449274452369</v>
      </c>
      <c r="K62" s="28" t="n">
        <f aca="false">IF(H62&gt;$B$17,0,MIN(I62,$B$18-J62))</f>
        <v>1029.24367726427</v>
      </c>
      <c r="L62" s="27" t="n">
        <f aca="false">I62-K62</f>
        <v>2069.30702137485</v>
      </c>
    </row>
    <row r="63" customFormat="false" ht="15" hidden="false" customHeight="false" outlineLevel="0" collapsed="false">
      <c r="G63" s="26" t="n">
        <f aca="false">INT((H63-1)/12)+1</f>
        <v>5</v>
      </c>
      <c r="H63" s="26" t="n">
        <v>59</v>
      </c>
      <c r="I63" s="27" t="n">
        <f aca="false">L62</f>
        <v>2069.30702137485</v>
      </c>
      <c r="J63" s="28" t="n">
        <f aca="false">IF(H63&gt;$B$17,0,I63*$B$16/12)</f>
        <v>7.24257457481198</v>
      </c>
      <c r="K63" s="28" t="n">
        <f aca="false">IF(H63&gt;$B$17,0,MIN(I63,$B$18-J63))</f>
        <v>1032.8460301347</v>
      </c>
      <c r="L63" s="27" t="n">
        <f aca="false">I63-K63</f>
        <v>1036.46099124016</v>
      </c>
    </row>
    <row r="64" customFormat="false" ht="15" hidden="false" customHeight="false" outlineLevel="0" collapsed="false">
      <c r="G64" s="26" t="n">
        <f aca="false">INT((H64-1)/12)+1</f>
        <v>5</v>
      </c>
      <c r="H64" s="26" t="n">
        <v>60</v>
      </c>
      <c r="I64" s="27" t="n">
        <f aca="false">L63</f>
        <v>1036.46099124016</v>
      </c>
      <c r="J64" s="28" t="n">
        <f aca="false">IF(H64&gt;$B$17,0,I64*$B$16/12)</f>
        <v>3.62761346934055</v>
      </c>
      <c r="K64" s="28" t="n">
        <f aca="false">IF(H64&gt;$B$17,0,MIN(I64,$B$18-J64))</f>
        <v>1036.46099124016</v>
      </c>
      <c r="L64" s="27" t="n">
        <f aca="false">I64-K64</f>
        <v>0</v>
      </c>
    </row>
    <row r="66" customFormat="false" ht="15" hidden="false" customHeight="false" outlineLevel="0" collapsed="false">
      <c r="G66" s="2" t="s">
        <v>201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0"/>
    <col collapsed="false" customWidth="true" hidden="false" outlineLevel="0" max="6" min="4" style="0" width="14"/>
    <col collapsed="false" customWidth="true" hidden="false" outlineLevel="0" max="7" min="7" style="0" width="16"/>
  </cols>
  <sheetData>
    <row r="1" customFormat="false" ht="17.35" hidden="false" customHeight="false" outlineLevel="0" collapsed="false">
      <c r="A1" s="1" t="s">
        <v>202</v>
      </c>
    </row>
    <row r="3" customFormat="false" ht="15" hidden="false" customHeight="false" outlineLevel="0" collapsed="false">
      <c r="A3" s="3" t="s">
        <v>203</v>
      </c>
      <c r="B3" s="3" t="s">
        <v>204</v>
      </c>
      <c r="C3" s="3" t="s">
        <v>205</v>
      </c>
      <c r="D3" s="3" t="s">
        <v>206</v>
      </c>
      <c r="E3" s="3" t="s">
        <v>207</v>
      </c>
      <c r="F3" s="3" t="s">
        <v>208</v>
      </c>
      <c r="G3" s="3" t="s">
        <v>209</v>
      </c>
    </row>
    <row r="4" customFormat="false" ht="15" hidden="false" customHeight="false" outlineLevel="0" collapsed="false">
      <c r="A4" s="4" t="s">
        <v>80</v>
      </c>
      <c r="B4" s="5" t="n">
        <f aca="false">Hypothèses!$B$9</f>
        <v>27500</v>
      </c>
      <c r="C4" s="32" t="n">
        <f aca="false">Hypothèses!$B$17</f>
        <v>5</v>
      </c>
      <c r="D4" s="27" t="n">
        <f aca="false">IF(C4&gt;=1,B4/C4,0)</f>
        <v>5500</v>
      </c>
      <c r="E4" s="27" t="n">
        <f aca="false">IF(C4&gt;=2,B4/C4,0)</f>
        <v>5500</v>
      </c>
      <c r="F4" s="27" t="n">
        <f aca="false">IF(C4&gt;=3,B4/C4,0)</f>
        <v>5500</v>
      </c>
      <c r="G4" s="27" t="n">
        <f aca="false">B4-SUM(D4:F4)</f>
        <v>11000</v>
      </c>
    </row>
    <row r="5" customFormat="false" ht="15" hidden="false" customHeight="false" outlineLevel="0" collapsed="false">
      <c r="A5" s="4" t="s">
        <v>83</v>
      </c>
      <c r="B5" s="5" t="n">
        <f aca="false">Hypothèses!$B$10</f>
        <v>8000</v>
      </c>
      <c r="C5" s="32" t="n">
        <f aca="false">Hypothèses!$B$18</f>
        <v>5</v>
      </c>
      <c r="D5" s="27" t="n">
        <f aca="false">IF(C5&gt;=1,B5/C5,0)</f>
        <v>1600</v>
      </c>
      <c r="E5" s="27" t="n">
        <f aca="false">IF(C5&gt;=2,B5/C5,0)</f>
        <v>1600</v>
      </c>
      <c r="F5" s="27" t="n">
        <f aca="false">IF(C5&gt;=3,B5/C5,0)</f>
        <v>1600</v>
      </c>
      <c r="G5" s="27" t="n">
        <f aca="false">B5-SUM(D5:F5)</f>
        <v>3200</v>
      </c>
    </row>
    <row r="6" customFormat="false" ht="15" hidden="false" customHeight="false" outlineLevel="0" collapsed="false">
      <c r="A6" s="4" t="s">
        <v>181</v>
      </c>
      <c r="B6" s="5" t="n">
        <f aca="false">Hypothèses!$B$11</f>
        <v>20000</v>
      </c>
      <c r="C6" s="32" t="n">
        <f aca="false">Hypothèses!$B$19</f>
        <v>5</v>
      </c>
      <c r="D6" s="27" t="n">
        <f aca="false">IF(C6&gt;=1,B6/C6,0)</f>
        <v>4000</v>
      </c>
      <c r="E6" s="27" t="n">
        <f aca="false">IF(C6&gt;=2,B6/C6,0)</f>
        <v>4000</v>
      </c>
      <c r="F6" s="27" t="n">
        <f aca="false">IF(C6&gt;=3,B6/C6,0)</f>
        <v>4000</v>
      </c>
      <c r="G6" s="27" t="n">
        <f aca="false">B6-SUM(D6:F6)</f>
        <v>8000</v>
      </c>
    </row>
    <row r="7" customFormat="false" ht="15" hidden="false" customHeight="false" outlineLevel="0" collapsed="false">
      <c r="A7" s="4" t="s">
        <v>85</v>
      </c>
      <c r="B7" s="5" t="n">
        <f aca="false">Hypothèses!$B$12</f>
        <v>5000</v>
      </c>
      <c r="C7" s="32" t="n">
        <f aca="false">Hypothèses!$B$20</f>
        <v>3</v>
      </c>
      <c r="D7" s="27" t="n">
        <f aca="false">IF(C7&gt;=1,B7/C7,0)</f>
        <v>1666.66666666667</v>
      </c>
      <c r="E7" s="27" t="n">
        <f aca="false">IF(C7&gt;=2,B7/C7,0)</f>
        <v>1666.66666666667</v>
      </c>
      <c r="F7" s="27" t="n">
        <f aca="false">IF(C7&gt;=3,B7/C7,0)</f>
        <v>1666.66666666667</v>
      </c>
      <c r="G7" s="27" t="n">
        <f aca="false">B7-SUM(D7:F7)</f>
        <v>0</v>
      </c>
    </row>
    <row r="8" customFormat="false" ht="15" hidden="false" customHeight="false" outlineLevel="0" collapsed="false">
      <c r="A8" s="24" t="s">
        <v>210</v>
      </c>
      <c r="B8" s="25" t="n">
        <f aca="false">SUM(B4:B7)</f>
        <v>60500</v>
      </c>
      <c r="C8" s="34"/>
      <c r="D8" s="25" t="n">
        <f aca="false">SUM(D4:D7)</f>
        <v>12766.6666666667</v>
      </c>
      <c r="E8" s="25" t="n">
        <f aca="false">SUM(E4:E7)</f>
        <v>12766.6666666667</v>
      </c>
      <c r="F8" s="25" t="n">
        <f aca="false">SUM(F4:F7)</f>
        <v>12766.6666666667</v>
      </c>
      <c r="G8" s="25" t="n">
        <f aca="false">SUM(G4:G7)</f>
        <v>22200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13" min="2" style="0" width="10.5"/>
    <col collapsed="false" customWidth="true" hidden="false" outlineLevel="0" max="14" min="14" style="0" width="12"/>
  </cols>
  <sheetData>
    <row r="1" customFormat="false" ht="17.35" hidden="false" customHeight="false" outlineLevel="0" collapsed="false">
      <c r="A1" s="1" t="s">
        <v>211</v>
      </c>
    </row>
    <row r="2" customFormat="false" ht="15" hidden="false" customHeight="false" outlineLevel="0" collapsed="false">
      <c r="A2" s="2" t="s">
        <v>212</v>
      </c>
    </row>
    <row r="4" customFormat="false" ht="15" hidden="false" customHeight="false" outlineLevel="0" collapsed="false">
      <c r="A4" s="3" t="s">
        <v>213</v>
      </c>
      <c r="B4" s="35" t="n">
        <f aca="false">EDATE(Hypothèses!$B$5,0)</f>
        <v>46388</v>
      </c>
      <c r="C4" s="35" t="n">
        <f aca="false">EDATE(Hypothèses!$B$5,1)</f>
        <v>46419</v>
      </c>
      <c r="D4" s="35" t="n">
        <f aca="false">EDATE(Hypothèses!$B$5,2)</f>
        <v>46447</v>
      </c>
      <c r="E4" s="35" t="n">
        <f aca="false">EDATE(Hypothèses!$B$5,3)</f>
        <v>46478</v>
      </c>
      <c r="F4" s="35" t="n">
        <f aca="false">EDATE(Hypothèses!$B$5,4)</f>
        <v>46508</v>
      </c>
      <c r="G4" s="35" t="n">
        <f aca="false">EDATE(Hypothèses!$B$5,5)</f>
        <v>46539</v>
      </c>
      <c r="H4" s="35" t="n">
        <f aca="false">EDATE(Hypothèses!$B$5,6)</f>
        <v>46569</v>
      </c>
      <c r="I4" s="35" t="n">
        <f aca="false">EDATE(Hypothèses!$B$5,7)</f>
        <v>46600</v>
      </c>
      <c r="J4" s="35" t="n">
        <f aca="false">EDATE(Hypothèses!$B$5,8)</f>
        <v>46631</v>
      </c>
      <c r="K4" s="35" t="n">
        <f aca="false">EDATE(Hypothèses!$B$5,9)</f>
        <v>46661</v>
      </c>
      <c r="L4" s="35" t="n">
        <f aca="false">EDATE(Hypothèses!$B$5,10)</f>
        <v>46692</v>
      </c>
      <c r="M4" s="35" t="n">
        <f aca="false">EDATE(Hypothèses!$B$5,11)</f>
        <v>46722</v>
      </c>
      <c r="N4" s="3" t="s">
        <v>214</v>
      </c>
    </row>
    <row r="5" customFormat="false" ht="15" hidden="false" customHeight="false" outlineLevel="0" collapsed="false">
      <c r="A5" s="4" t="s">
        <v>215</v>
      </c>
      <c r="B5" s="16" t="n">
        <v>4</v>
      </c>
      <c r="C5" s="16" t="n">
        <v>5</v>
      </c>
      <c r="D5" s="16" t="n">
        <v>7</v>
      </c>
      <c r="E5" s="16" t="n">
        <v>9</v>
      </c>
      <c r="F5" s="16" t="n">
        <v>10</v>
      </c>
      <c r="G5" s="16" t="n">
        <v>10</v>
      </c>
      <c r="H5" s="16" t="n">
        <v>9</v>
      </c>
      <c r="I5" s="16" t="n">
        <v>6</v>
      </c>
      <c r="J5" s="16" t="n">
        <v>10</v>
      </c>
      <c r="K5" s="16" t="n">
        <v>10</v>
      </c>
      <c r="L5" s="16" t="n">
        <v>7</v>
      </c>
      <c r="M5" s="16" t="n">
        <v>5</v>
      </c>
      <c r="N5" s="36" t="n">
        <f aca="false">SUM(B5:M5)</f>
        <v>92</v>
      </c>
    </row>
    <row r="6" customFormat="false" ht="15" hidden="false" customHeight="false" outlineLevel="0" collapsed="false">
      <c r="A6" s="4" t="s">
        <v>216</v>
      </c>
      <c r="B6" s="16" t="n">
        <v>2</v>
      </c>
      <c r="C6" s="16" t="n">
        <v>3</v>
      </c>
      <c r="D6" s="16" t="n">
        <v>4</v>
      </c>
      <c r="E6" s="16" t="n">
        <v>5</v>
      </c>
      <c r="F6" s="16" t="n">
        <v>6</v>
      </c>
      <c r="G6" s="16" t="n">
        <v>6</v>
      </c>
      <c r="H6" s="16" t="n">
        <v>5</v>
      </c>
      <c r="I6" s="16" t="n">
        <v>3</v>
      </c>
      <c r="J6" s="16" t="n">
        <v>6</v>
      </c>
      <c r="K6" s="16" t="n">
        <v>6</v>
      </c>
      <c r="L6" s="16" t="n">
        <v>4</v>
      </c>
      <c r="M6" s="16" t="n">
        <v>3</v>
      </c>
      <c r="N6" s="36" t="n">
        <f aca="false">SUM(B6:M6)</f>
        <v>53</v>
      </c>
    </row>
    <row r="7" customFormat="false" ht="15" hidden="false" customHeight="false" outlineLevel="0" collapsed="false">
      <c r="A7" s="6" t="s">
        <v>217</v>
      </c>
      <c r="B7" s="37" t="n">
        <f aca="false">B5+B6</f>
        <v>6</v>
      </c>
      <c r="C7" s="37" t="n">
        <f aca="false">C5+C6</f>
        <v>8</v>
      </c>
      <c r="D7" s="37" t="n">
        <f aca="false">D5+D6</f>
        <v>11</v>
      </c>
      <c r="E7" s="37" t="n">
        <f aca="false">E5+E6</f>
        <v>14</v>
      </c>
      <c r="F7" s="37" t="n">
        <f aca="false">F5+F6</f>
        <v>16</v>
      </c>
      <c r="G7" s="37" t="n">
        <f aca="false">G5+G6</f>
        <v>16</v>
      </c>
      <c r="H7" s="37" t="n">
        <f aca="false">H5+H6</f>
        <v>14</v>
      </c>
      <c r="I7" s="37" t="n">
        <f aca="false">I5+I6</f>
        <v>9</v>
      </c>
      <c r="J7" s="37" t="n">
        <f aca="false">J5+J6</f>
        <v>16</v>
      </c>
      <c r="K7" s="37" t="n">
        <f aca="false">K5+K6</f>
        <v>16</v>
      </c>
      <c r="L7" s="37" t="n">
        <f aca="false">L5+L6</f>
        <v>11</v>
      </c>
      <c r="M7" s="37" t="n">
        <f aca="false">M5+M6</f>
        <v>8</v>
      </c>
      <c r="N7" s="36" t="n">
        <f aca="false">SUM(B7:M7)</f>
        <v>145</v>
      </c>
    </row>
    <row r="8" customFormat="false" ht="15" hidden="false" customHeight="false" outlineLevel="0" collapsed="false">
      <c r="A8" s="4" t="s">
        <v>218</v>
      </c>
      <c r="B8" s="38" t="n">
        <f aca="false">IF(Hypothèses!$B$6=0,0,B7/Hypothèses!$B$6)</f>
        <v>0.285714285714286</v>
      </c>
      <c r="C8" s="38" t="n">
        <f aca="false">IF(Hypothèses!$B$6=0,0,C7/Hypothèses!$B$6)</f>
        <v>0.380952380952381</v>
      </c>
      <c r="D8" s="38" t="n">
        <f aca="false">IF(Hypothèses!$B$6=0,0,D7/Hypothèses!$B$6)</f>
        <v>0.523809523809524</v>
      </c>
      <c r="E8" s="38" t="n">
        <f aca="false">IF(Hypothèses!$B$6=0,0,E7/Hypothèses!$B$6)</f>
        <v>0.666666666666667</v>
      </c>
      <c r="F8" s="38" t="n">
        <f aca="false">IF(Hypothèses!$B$6=0,0,F7/Hypothèses!$B$6)</f>
        <v>0.761904761904762</v>
      </c>
      <c r="G8" s="38" t="n">
        <f aca="false">IF(Hypothèses!$B$6=0,0,G7/Hypothèses!$B$6)</f>
        <v>0.761904761904762</v>
      </c>
      <c r="H8" s="38" t="n">
        <f aca="false">IF(Hypothèses!$B$6=0,0,H7/Hypothèses!$B$6)</f>
        <v>0.666666666666667</v>
      </c>
      <c r="I8" s="38" t="n">
        <f aca="false">IF(Hypothèses!$B$6=0,0,I7/Hypothèses!$B$6)</f>
        <v>0.428571428571429</v>
      </c>
      <c r="J8" s="38" t="n">
        <f aca="false">IF(Hypothèses!$B$6=0,0,J7/Hypothèses!$B$6)</f>
        <v>0.761904761904762</v>
      </c>
      <c r="K8" s="38" t="n">
        <f aca="false">IF(Hypothèses!$B$6=0,0,K7/Hypothèses!$B$6)</f>
        <v>0.761904761904762</v>
      </c>
      <c r="L8" s="38" t="n">
        <f aca="false">IF(Hypothèses!$B$6=0,0,L7/Hypothèses!$B$6)</f>
        <v>0.523809523809524</v>
      </c>
      <c r="M8" s="38" t="n">
        <f aca="false">IF(Hypothèses!$B$6=0,0,M7/Hypothèses!$B$6)</f>
        <v>0.380952380952381</v>
      </c>
      <c r="N8" s="39" t="n">
        <f aca="false">IF(Hypothèses!$B$6=0,0,N7/(12*Hypothèses!$B$6))</f>
        <v>0.575396825396825</v>
      </c>
    </row>
    <row r="10" customFormat="false" ht="15" hidden="false" customHeight="false" outlineLevel="0" collapsed="false">
      <c r="A10" s="4" t="s">
        <v>219</v>
      </c>
      <c r="B10" s="27" t="n">
        <f aca="false">B5*Hypothèses!$B$31</f>
        <v>1120</v>
      </c>
      <c r="C10" s="27" t="n">
        <f aca="false">C5*Hypothèses!$B$31</f>
        <v>1400</v>
      </c>
      <c r="D10" s="27" t="n">
        <f aca="false">D5*Hypothèses!$B$31</f>
        <v>1960</v>
      </c>
      <c r="E10" s="27" t="n">
        <f aca="false">E5*Hypothèses!$B$31</f>
        <v>2520</v>
      </c>
      <c r="F10" s="27" t="n">
        <f aca="false">F5*Hypothèses!$B$31</f>
        <v>2800</v>
      </c>
      <c r="G10" s="27" t="n">
        <f aca="false">G5*Hypothèses!$B$31</f>
        <v>2800</v>
      </c>
      <c r="H10" s="27" t="n">
        <f aca="false">H5*Hypothèses!$B$31</f>
        <v>2520</v>
      </c>
      <c r="I10" s="27" t="n">
        <f aca="false">I5*Hypothèses!$B$31</f>
        <v>1680</v>
      </c>
      <c r="J10" s="27" t="n">
        <f aca="false">J5*Hypothèses!$B$31</f>
        <v>2800</v>
      </c>
      <c r="K10" s="27" t="n">
        <f aca="false">K5*Hypothèses!$B$31</f>
        <v>2800</v>
      </c>
      <c r="L10" s="27" t="n">
        <f aca="false">L5*Hypothèses!$B$31</f>
        <v>1960</v>
      </c>
      <c r="M10" s="27" t="n">
        <f aca="false">M5*Hypothèses!$B$31</f>
        <v>1400</v>
      </c>
      <c r="N10" s="25" t="n">
        <f aca="false">SUM(B10:M10)</f>
        <v>25760</v>
      </c>
    </row>
    <row r="11" customFormat="false" ht="15" hidden="false" customHeight="false" outlineLevel="0" collapsed="false">
      <c r="A11" s="4" t="s">
        <v>220</v>
      </c>
      <c r="B11" s="27" t="n">
        <f aca="false">B6*Hypothèses!$B$32</f>
        <v>1500</v>
      </c>
      <c r="C11" s="27" t="n">
        <f aca="false">C6*Hypothèses!$B$32</f>
        <v>2250</v>
      </c>
      <c r="D11" s="27" t="n">
        <f aca="false">D6*Hypothèses!$B$32</f>
        <v>3000</v>
      </c>
      <c r="E11" s="27" t="n">
        <f aca="false">E6*Hypothèses!$B$32</f>
        <v>3750</v>
      </c>
      <c r="F11" s="27" t="n">
        <f aca="false">F6*Hypothèses!$B$32</f>
        <v>4500</v>
      </c>
      <c r="G11" s="27" t="n">
        <f aca="false">G6*Hypothèses!$B$32</f>
        <v>4500</v>
      </c>
      <c r="H11" s="27" t="n">
        <f aca="false">H6*Hypothèses!$B$32</f>
        <v>3750</v>
      </c>
      <c r="I11" s="27" t="n">
        <f aca="false">I6*Hypothèses!$B$32</f>
        <v>2250</v>
      </c>
      <c r="J11" s="27" t="n">
        <f aca="false">J6*Hypothèses!$B$32</f>
        <v>4500</v>
      </c>
      <c r="K11" s="27" t="n">
        <f aca="false">K6*Hypothèses!$B$32</f>
        <v>4500</v>
      </c>
      <c r="L11" s="27" t="n">
        <f aca="false">L6*Hypothèses!$B$32</f>
        <v>3000</v>
      </c>
      <c r="M11" s="27" t="n">
        <f aca="false">M6*Hypothèses!$B$32</f>
        <v>2250</v>
      </c>
      <c r="N11" s="25" t="n">
        <f aca="false">SUM(B11:M11)</f>
        <v>39750</v>
      </c>
    </row>
    <row r="12" customFormat="false" ht="15" hidden="false" customHeight="false" outlineLevel="0" collapsed="false">
      <c r="A12" s="6" t="s">
        <v>221</v>
      </c>
      <c r="B12" s="40" t="n">
        <f aca="false">B10+B11</f>
        <v>2620</v>
      </c>
      <c r="C12" s="40" t="n">
        <f aca="false">C10+C11</f>
        <v>3650</v>
      </c>
      <c r="D12" s="40" t="n">
        <f aca="false">D10+D11</f>
        <v>4960</v>
      </c>
      <c r="E12" s="40" t="n">
        <f aca="false">E10+E11</f>
        <v>6270</v>
      </c>
      <c r="F12" s="40" t="n">
        <f aca="false">F10+F11</f>
        <v>7300</v>
      </c>
      <c r="G12" s="40" t="n">
        <f aca="false">G10+G11</f>
        <v>7300</v>
      </c>
      <c r="H12" s="40" t="n">
        <f aca="false">H10+H11</f>
        <v>6270</v>
      </c>
      <c r="I12" s="40" t="n">
        <f aca="false">I10+I11</f>
        <v>3930</v>
      </c>
      <c r="J12" s="40" t="n">
        <f aca="false">J10+J11</f>
        <v>7300</v>
      </c>
      <c r="K12" s="40" t="n">
        <f aca="false">K10+K11</f>
        <v>7300</v>
      </c>
      <c r="L12" s="40" t="n">
        <f aca="false">L10+L11</f>
        <v>4960</v>
      </c>
      <c r="M12" s="40" t="n">
        <f aca="false">M10+M11</f>
        <v>3650</v>
      </c>
      <c r="N12" s="25" t="n">
        <f aca="false">SUM(B12:M12)</f>
        <v>65510</v>
      </c>
    </row>
    <row r="14" customFormat="false" ht="15" hidden="false" customHeight="false" outlineLevel="0" collapsed="false">
      <c r="A14" s="4" t="s">
        <v>222</v>
      </c>
      <c r="B14" s="20" t="n">
        <v>0.04</v>
      </c>
      <c r="C14" s="20" t="n">
        <v>0.05</v>
      </c>
      <c r="D14" s="20" t="n">
        <v>0.08</v>
      </c>
      <c r="E14" s="20" t="n">
        <v>0.1</v>
      </c>
      <c r="F14" s="20" t="n">
        <v>0.1</v>
      </c>
      <c r="G14" s="20" t="n">
        <v>0.1</v>
      </c>
      <c r="H14" s="20" t="n">
        <v>0.09</v>
      </c>
      <c r="I14" s="20" t="n">
        <v>0.05</v>
      </c>
      <c r="J14" s="20" t="n">
        <v>0.11</v>
      </c>
      <c r="K14" s="20" t="n">
        <v>0.11</v>
      </c>
      <c r="L14" s="20" t="n">
        <v>0.09</v>
      </c>
      <c r="M14" s="20" t="n">
        <v>0.08</v>
      </c>
      <c r="N14" s="39" t="n">
        <f aca="false">SUM(B14:M14)</f>
        <v>1</v>
      </c>
      <c r="O14" s="6" t="str">
        <f aca="false">IF(ROUND(N14,4)=1,"OK","≠ 100 % !")</f>
        <v>OK</v>
      </c>
    </row>
    <row r="15" customFormat="false" ht="15" hidden="false" customHeight="false" outlineLevel="0" collapsed="false">
      <c r="A15" s="6" t="s">
        <v>223</v>
      </c>
      <c r="B15" s="40" t="n">
        <f aca="false">B14*Hypothèses!$B$33</f>
        <v>2600</v>
      </c>
      <c r="C15" s="40" t="n">
        <f aca="false">C14*Hypothèses!$B$33</f>
        <v>3250</v>
      </c>
      <c r="D15" s="40" t="n">
        <f aca="false">D14*Hypothèses!$B$33</f>
        <v>5200</v>
      </c>
      <c r="E15" s="40" t="n">
        <f aca="false">E14*Hypothèses!$B$33</f>
        <v>6500</v>
      </c>
      <c r="F15" s="40" t="n">
        <f aca="false">F14*Hypothèses!$B$33</f>
        <v>6500</v>
      </c>
      <c r="G15" s="40" t="n">
        <f aca="false">G14*Hypothèses!$B$33</f>
        <v>6500</v>
      </c>
      <c r="H15" s="40" t="n">
        <f aca="false">H14*Hypothèses!$B$33</f>
        <v>5850</v>
      </c>
      <c r="I15" s="40" t="n">
        <f aca="false">I14*Hypothèses!$B$33</f>
        <v>3250</v>
      </c>
      <c r="J15" s="40" t="n">
        <f aca="false">J14*Hypothèses!$B$33</f>
        <v>7150</v>
      </c>
      <c r="K15" s="40" t="n">
        <f aca="false">K14*Hypothèses!$B$33</f>
        <v>7150</v>
      </c>
      <c r="L15" s="40" t="n">
        <f aca="false">L14*Hypothèses!$B$33</f>
        <v>5850</v>
      </c>
      <c r="M15" s="40" t="n">
        <f aca="false">M14*Hypothèses!$B$33</f>
        <v>5200</v>
      </c>
      <c r="N15" s="25" t="n">
        <f aca="false">SUM(B15:M15)</f>
        <v>65000</v>
      </c>
    </row>
    <row r="17" customFormat="false" ht="15" hidden="false" customHeight="false" outlineLevel="0" collapsed="false">
      <c r="A17" s="13" t="s">
        <v>224</v>
      </c>
      <c r="B17" s="41" t="n">
        <f aca="false">B12+B15</f>
        <v>5220</v>
      </c>
      <c r="C17" s="41" t="n">
        <f aca="false">C12+C15</f>
        <v>6900</v>
      </c>
      <c r="D17" s="41" t="n">
        <f aca="false">D12+D15</f>
        <v>10160</v>
      </c>
      <c r="E17" s="41" t="n">
        <f aca="false">E12+E15</f>
        <v>12770</v>
      </c>
      <c r="F17" s="41" t="n">
        <f aca="false">F12+F15</f>
        <v>13800</v>
      </c>
      <c r="G17" s="41" t="n">
        <f aca="false">G12+G15</f>
        <v>13800</v>
      </c>
      <c r="H17" s="41" t="n">
        <f aca="false">H12+H15</f>
        <v>12120</v>
      </c>
      <c r="I17" s="41" t="n">
        <f aca="false">I12+I15</f>
        <v>7180</v>
      </c>
      <c r="J17" s="41" t="n">
        <f aca="false">J12+J15</f>
        <v>14450</v>
      </c>
      <c r="K17" s="41" t="n">
        <f aca="false">K12+K15</f>
        <v>14450</v>
      </c>
      <c r="L17" s="41" t="n">
        <f aca="false">L12+L15</f>
        <v>10810</v>
      </c>
      <c r="M17" s="41" t="n">
        <f aca="false">M12+M15</f>
        <v>8850</v>
      </c>
      <c r="N17" s="25" t="n">
        <f aca="false">SUM(B17:M17)</f>
        <v>130510</v>
      </c>
    </row>
    <row r="19" customFormat="false" ht="15" hidden="false" customHeight="false" outlineLevel="0" collapsed="false">
      <c r="A19" s="4" t="s">
        <v>225</v>
      </c>
      <c r="N19" s="18" t="n">
        <v>65000</v>
      </c>
    </row>
    <row r="20" customFormat="false" ht="15" hidden="false" customHeight="false" outlineLevel="0" collapsed="false">
      <c r="A20" s="4" t="s">
        <v>226</v>
      </c>
      <c r="N20" s="40" t="n">
        <f aca="false">N12-N19</f>
        <v>510</v>
      </c>
    </row>
    <row r="22" customFormat="false" ht="15" hidden="false" customHeight="false" outlineLevel="0" collapsed="false">
      <c r="A22" s="2" t="s">
        <v>227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4" min="2" style="0" width="14"/>
    <col collapsed="false" customWidth="true" hidden="false" outlineLevel="0" max="5" min="5" style="0" width="60"/>
  </cols>
  <sheetData>
    <row r="1" customFormat="false" ht="17.35" hidden="false" customHeight="false" outlineLevel="0" collapsed="false">
      <c r="A1" s="1" t="s">
        <v>228</v>
      </c>
    </row>
    <row r="3" customFormat="false" ht="15" hidden="false" customHeight="false" outlineLevel="0" collapsed="false">
      <c r="A3" s="3"/>
      <c r="B3" s="3" t="s">
        <v>9</v>
      </c>
      <c r="C3" s="3" t="s">
        <v>10</v>
      </c>
      <c r="D3" s="3" t="s">
        <v>11</v>
      </c>
      <c r="E3" s="3" t="s">
        <v>146</v>
      </c>
    </row>
    <row r="4" customFormat="false" ht="15" hidden="false" customHeight="false" outlineLevel="0" collapsed="false">
      <c r="A4" s="13" t="s">
        <v>229</v>
      </c>
      <c r="B4" s="14"/>
      <c r="C4" s="14"/>
      <c r="D4" s="14"/>
      <c r="E4" s="14"/>
    </row>
    <row r="5" customFormat="false" ht="15" hidden="false" customHeight="false" outlineLevel="0" collapsed="false">
      <c r="A5" s="4" t="s">
        <v>12</v>
      </c>
      <c r="B5" s="27" t="n">
        <f aca="false">'Activité A1'!$N$12</f>
        <v>65510</v>
      </c>
      <c r="C5" s="27" t="n">
        <f aca="false">B5*(1+Hypothèses!$B$34)</f>
        <v>75336.5</v>
      </c>
      <c r="D5" s="27" t="n">
        <f aca="false">C5*(1+Hypothèses!$B$35)</f>
        <v>82870.15</v>
      </c>
      <c r="E5" s="2" t="s">
        <v>230</v>
      </c>
    </row>
    <row r="6" customFormat="false" ht="15" hidden="false" customHeight="false" outlineLevel="0" collapsed="false">
      <c r="A6" s="4" t="s">
        <v>13</v>
      </c>
      <c r="B6" s="27" t="n">
        <f aca="false">'Activité A1'!$N$15</f>
        <v>65000</v>
      </c>
      <c r="C6" s="27" t="n">
        <f aca="false">B6*(1+Hypothèses!$B$34)</f>
        <v>74750</v>
      </c>
      <c r="D6" s="27" t="n">
        <f aca="false">C6*(1+Hypothèses!$B$35)</f>
        <v>82225</v>
      </c>
    </row>
    <row r="7" customFormat="false" ht="15" hidden="false" customHeight="false" outlineLevel="0" collapsed="false">
      <c r="A7" s="24" t="s">
        <v>231</v>
      </c>
      <c r="B7" s="25" t="n">
        <f aca="false">B5+B6</f>
        <v>130510</v>
      </c>
      <c r="C7" s="25" t="n">
        <f aca="false">C5+C6</f>
        <v>150086.5</v>
      </c>
      <c r="D7" s="25" t="n">
        <f aca="false">D5+D6</f>
        <v>165095.15</v>
      </c>
    </row>
    <row r="9" customFormat="false" ht="15" hidden="false" customHeight="false" outlineLevel="0" collapsed="false">
      <c r="A9" s="13" t="s">
        <v>232</v>
      </c>
      <c r="B9" s="14"/>
      <c r="C9" s="14"/>
      <c r="D9" s="14"/>
      <c r="E9" s="14"/>
    </row>
    <row r="10" customFormat="false" ht="15" hidden="false" customHeight="false" outlineLevel="0" collapsed="false">
      <c r="A10" s="4" t="s">
        <v>233</v>
      </c>
      <c r="B10" s="27" t="n">
        <f aca="false">B6*Hypothèses!$B$39</f>
        <v>19500</v>
      </c>
      <c r="C10" s="27" t="n">
        <f aca="false">C6*Hypothèses!$B$39</f>
        <v>22425</v>
      </c>
      <c r="D10" s="27" t="n">
        <f aca="false">D6*Hypothèses!$B$39</f>
        <v>24667.5</v>
      </c>
    </row>
    <row r="11" customFormat="false" ht="15" hidden="false" customHeight="false" outlineLevel="0" collapsed="false">
      <c r="A11" s="4" t="s">
        <v>234</v>
      </c>
      <c r="B11" s="27" t="n">
        <f aca="false">'Activité A1'!$N$6*Hypothèses!$B$40+B6*Hypothèses!$B$42</f>
        <v>5490</v>
      </c>
      <c r="C11" s="27" t="n">
        <f aca="false">B11*(1+Hypothèses!$B$34)</f>
        <v>6313.5</v>
      </c>
      <c r="D11" s="27" t="n">
        <f aca="false">C11*(1+Hypothèses!$B$35)</f>
        <v>6944.85</v>
      </c>
    </row>
    <row r="12" customFormat="false" ht="15" hidden="false" customHeight="false" outlineLevel="0" collapsed="false">
      <c r="A12" s="4" t="s">
        <v>235</v>
      </c>
      <c r="B12" s="27" t="n">
        <f aca="false">'Activité A1'!$N$7*Hypothèses!$B$41</f>
        <v>1450</v>
      </c>
      <c r="C12" s="27" t="n">
        <f aca="false">B12*(1+Hypothèses!$B$34)</f>
        <v>1667.5</v>
      </c>
      <c r="D12" s="27" t="n">
        <f aca="false">C12*(1+Hypothèses!$B$35)</f>
        <v>1834.25</v>
      </c>
    </row>
    <row r="13" customFormat="false" ht="15" hidden="false" customHeight="false" outlineLevel="0" collapsed="false">
      <c r="A13" s="24" t="s">
        <v>236</v>
      </c>
      <c r="B13" s="25" t="n">
        <f aca="false">SUM(B10:B12)</f>
        <v>26440</v>
      </c>
      <c r="C13" s="25" t="n">
        <f aca="false">SUM(C10:C12)</f>
        <v>30406</v>
      </c>
      <c r="D13" s="25" t="n">
        <f aca="false">SUM(D10:D12)</f>
        <v>33446.6</v>
      </c>
    </row>
    <row r="14" customFormat="false" ht="15" hidden="false" customHeight="false" outlineLevel="0" collapsed="false">
      <c r="A14" s="6" t="s">
        <v>237</v>
      </c>
      <c r="B14" s="40" t="n">
        <f aca="false">B7-B13</f>
        <v>104070</v>
      </c>
      <c r="C14" s="40" t="n">
        <f aca="false">C7-C13</f>
        <v>119680.5</v>
      </c>
      <c r="D14" s="40" t="n">
        <f aca="false">D7-D13</f>
        <v>131648.55</v>
      </c>
    </row>
    <row r="15" customFormat="false" ht="15" hidden="false" customHeight="false" outlineLevel="0" collapsed="false">
      <c r="A15" s="4" t="s">
        <v>238</v>
      </c>
      <c r="B15" s="38" t="n">
        <f aca="false">IF(B7=0,0,B14/B7)</f>
        <v>0.797410160140985</v>
      </c>
      <c r="C15" s="38" t="n">
        <f aca="false">IF(C7=0,0,C14/C7)</f>
        <v>0.797410160140985</v>
      </c>
      <c r="D15" s="38" t="n">
        <f aca="false">IF(D7=0,0,D14/D7)</f>
        <v>0.797410160140985</v>
      </c>
    </row>
    <row r="17" customFormat="false" ht="15" hidden="false" customHeight="false" outlineLevel="0" collapsed="false">
      <c r="A17" s="13" t="s">
        <v>239</v>
      </c>
      <c r="B17" s="14"/>
      <c r="C17" s="14"/>
      <c r="D17" s="14"/>
      <c r="E17" s="14"/>
    </row>
    <row r="18" customFormat="false" ht="15" hidden="false" customHeight="false" outlineLevel="0" collapsed="false">
      <c r="A18" s="4" t="s">
        <v>240</v>
      </c>
      <c r="B18" s="5" t="n">
        <f aca="false">Hypothèses!B$76</f>
        <v>17420</v>
      </c>
      <c r="C18" s="5" t="n">
        <f aca="false">Hypothèses!C$76</f>
        <v>17920</v>
      </c>
      <c r="D18" s="5" t="n">
        <f aca="false">Hypothèses!D$76</f>
        <v>18420</v>
      </c>
      <c r="E18" s="2" t="s">
        <v>241</v>
      </c>
    </row>
    <row r="19" customFormat="false" ht="15" hidden="false" customHeight="false" outlineLevel="0" collapsed="false">
      <c r="A19" s="4" t="s">
        <v>183</v>
      </c>
      <c r="B19" s="5" t="n">
        <f aca="false">Hypothèses!$B$13</f>
        <v>1200</v>
      </c>
      <c r="C19" s="5" t="n">
        <v>0</v>
      </c>
      <c r="D19" s="5" t="n">
        <v>0</v>
      </c>
    </row>
    <row r="20" customFormat="false" ht="15" hidden="false" customHeight="false" outlineLevel="0" collapsed="false">
      <c r="A20" s="4" t="s">
        <v>242</v>
      </c>
      <c r="B20" s="27" t="n">
        <f aca="false">Hypothèses!B$47*Hypothèses!$B$45*MAX(0,13-Hypothèses!$B$48)</f>
        <v>18000</v>
      </c>
      <c r="C20" s="27" t="n">
        <f aca="false">Hypothèses!C$47*Hypothèses!$B$45*12</f>
        <v>36000</v>
      </c>
      <c r="D20" s="27" t="n">
        <f aca="false">Hypothèses!D$47*Hypothèses!$B$45*12</f>
        <v>48000</v>
      </c>
      <c r="E20" s="2" t="s">
        <v>243</v>
      </c>
    </row>
    <row r="21" customFormat="false" ht="15" hidden="false" customHeight="false" outlineLevel="0" collapsed="false">
      <c r="A21" s="4" t="s">
        <v>244</v>
      </c>
      <c r="B21" s="27" t="n">
        <f aca="false">B20*Hypothèses!$B$49</f>
        <v>8100</v>
      </c>
      <c r="C21" s="27" t="n">
        <f aca="false">C20*Hypothèses!$B$49</f>
        <v>16200</v>
      </c>
      <c r="D21" s="27" t="n">
        <f aca="false">D20*Hypothèses!$B$49</f>
        <v>21600</v>
      </c>
    </row>
    <row r="22" customFormat="false" ht="15" hidden="false" customHeight="false" outlineLevel="0" collapsed="false">
      <c r="A22" s="24" t="s">
        <v>245</v>
      </c>
      <c r="B22" s="25" t="n">
        <f aca="false">B14-B18-B19-B20-B21</f>
        <v>59350</v>
      </c>
      <c r="C22" s="25" t="n">
        <f aca="false">C14-C18-C19-C20-C21</f>
        <v>49560.5</v>
      </c>
      <c r="D22" s="25" t="n">
        <f aca="false">D14-D18-D19-D20-D21</f>
        <v>43628.55</v>
      </c>
    </row>
    <row r="23" customFormat="false" ht="15" hidden="false" customHeight="false" outlineLevel="0" collapsed="false">
      <c r="A23" s="4" t="s">
        <v>246</v>
      </c>
      <c r="B23" s="5" t="n">
        <f aca="false">Amortissements!$D$8</f>
        <v>12766.6666666667</v>
      </c>
      <c r="C23" s="5" t="n">
        <f aca="false">Amortissements!$E$8</f>
        <v>12766.6666666667</v>
      </c>
      <c r="D23" s="5" t="n">
        <f aca="false">Amortissements!$F$8</f>
        <v>12766.6666666667</v>
      </c>
    </row>
    <row r="24" customFormat="false" ht="15" hidden="false" customHeight="false" outlineLevel="0" collapsed="false">
      <c r="A24" s="6" t="s">
        <v>247</v>
      </c>
      <c r="B24" s="40" t="n">
        <f aca="false">B22-B23</f>
        <v>46583.3333333333</v>
      </c>
      <c r="C24" s="40" t="n">
        <f aca="false">C22-C23</f>
        <v>36793.8333333333</v>
      </c>
      <c r="D24" s="40" t="n">
        <f aca="false">D22-D23</f>
        <v>30861.8833333334</v>
      </c>
    </row>
    <row r="25" customFormat="false" ht="15" hidden="false" customHeight="false" outlineLevel="0" collapsed="false">
      <c r="A25" s="4" t="s">
        <v>248</v>
      </c>
      <c r="B25" s="5" t="n">
        <f aca="false">Financement!$B$24+Hypothèses!$B$27</f>
        <v>2663.28630003379</v>
      </c>
      <c r="C25" s="5" t="n">
        <f aca="false">Financement!$B$25</f>
        <v>1721.49965203752</v>
      </c>
      <c r="D25" s="5" t="n">
        <f aca="false">Financement!$B$26</f>
        <v>1260.79658016709</v>
      </c>
    </row>
    <row r="26" customFormat="false" ht="15" hidden="false" customHeight="false" outlineLevel="0" collapsed="false">
      <c r="A26" s="24" t="s">
        <v>249</v>
      </c>
      <c r="B26" s="25" t="n">
        <f aca="false">B24-B25</f>
        <v>43920.0470332996</v>
      </c>
      <c r="C26" s="25" t="n">
        <f aca="false">C24-C25</f>
        <v>35072.3336812958</v>
      </c>
      <c r="D26" s="25" t="n">
        <f aca="false">D24-D25</f>
        <v>29601.0867531663</v>
      </c>
    </row>
    <row r="27" customFormat="false" ht="15" hidden="false" customHeight="false" outlineLevel="0" collapsed="false">
      <c r="A27" s="4" t="s">
        <v>250</v>
      </c>
      <c r="B27" s="27" t="n">
        <f aca="false">MAX(0,B26)</f>
        <v>43920.0470332996</v>
      </c>
      <c r="C27" s="27" t="n">
        <f aca="false">MAX(0,C26-B29)</f>
        <v>35072.3336812958</v>
      </c>
      <c r="D27" s="27" t="n">
        <f aca="false">MAX(0,D26-C29)</f>
        <v>29601.0867531663</v>
      </c>
    </row>
    <row r="28" customFormat="false" ht="15" hidden="false" customHeight="false" outlineLevel="0" collapsed="false">
      <c r="A28" s="4" t="s">
        <v>251</v>
      </c>
      <c r="B28" s="27" t="n">
        <f aca="false">MIN(B27,Hypothèses!$B$54)*Hypothèses!$B$53+MAX(0,B27-Hypothèses!$B$54)*Hypothèses!$B$55</f>
        <v>6730.01175832489</v>
      </c>
      <c r="C28" s="27" t="n">
        <f aca="false">MIN(C27,Hypothèses!$B$54)*Hypothèses!$B$53+MAX(0,C27-Hypothèses!$B$54)*Hypothèses!$B$55</f>
        <v>5260.85005219437</v>
      </c>
      <c r="D28" s="27" t="n">
        <f aca="false">MIN(D27,Hypothèses!$B$54)*Hypothèses!$B$53+MAX(0,D27-Hypothèses!$B$54)*Hypothèses!$B$55</f>
        <v>4440.16301297494</v>
      </c>
    </row>
    <row r="29" customFormat="false" ht="15" hidden="false" customHeight="false" outlineLevel="0" collapsed="false">
      <c r="A29" s="4" t="s">
        <v>252</v>
      </c>
      <c r="B29" s="27" t="n">
        <f aca="false">MAX(0,-B26)</f>
        <v>0</v>
      </c>
      <c r="C29" s="27" t="n">
        <f aca="false">MAX(0,B29-C26)</f>
        <v>0</v>
      </c>
      <c r="D29" s="27" t="n">
        <f aca="false">MAX(0,C29-D26)</f>
        <v>0</v>
      </c>
      <c r="E29" s="2" t="s">
        <v>253</v>
      </c>
    </row>
    <row r="30" customFormat="false" ht="15" hidden="false" customHeight="false" outlineLevel="0" collapsed="false">
      <c r="A30" s="13" t="s">
        <v>254</v>
      </c>
      <c r="B30" s="41" t="n">
        <f aca="false">B26-B28</f>
        <v>37190.0352749747</v>
      </c>
      <c r="C30" s="41" t="n">
        <f aca="false">C26-C28</f>
        <v>29811.4836291015</v>
      </c>
      <c r="D30" s="41" t="n">
        <f aca="false">D26-D28</f>
        <v>25160.9237401913</v>
      </c>
    </row>
    <row r="31" customFormat="false" ht="15" hidden="false" customHeight="false" outlineLevel="0" collapsed="false">
      <c r="A31" s="4" t="s">
        <v>255</v>
      </c>
      <c r="B31" s="38" t="n">
        <f aca="false">IF(B7=0,0,B30/B7)</f>
        <v>0.284959277258254</v>
      </c>
      <c r="C31" s="38" t="n">
        <f aca="false">IF(C7=0,0,C30/C7)</f>
        <v>0.198628681654256</v>
      </c>
      <c r="D31" s="38" t="n">
        <f aca="false">IF(D7=0,0,D30/D7)</f>
        <v>0.152402561433157</v>
      </c>
    </row>
    <row r="33" customFormat="false" ht="15" hidden="false" customHeight="false" outlineLevel="0" collapsed="false">
      <c r="A33" s="13" t="s">
        <v>256</v>
      </c>
      <c r="B33" s="14"/>
      <c r="C33" s="14"/>
      <c r="D33" s="14"/>
      <c r="E33" s="14"/>
    </row>
    <row r="34" customFormat="false" ht="15" hidden="false" customHeight="false" outlineLevel="0" collapsed="false">
      <c r="A34" s="6" t="s">
        <v>257</v>
      </c>
      <c r="B34" s="40" t="n">
        <f aca="false">B30+B23</f>
        <v>49956.7019416413</v>
      </c>
      <c r="C34" s="40" t="n">
        <f aca="false">C30+C23</f>
        <v>42578.1502957681</v>
      </c>
      <c r="D34" s="40" t="n">
        <f aca="false">D30+D23</f>
        <v>37927.590406858</v>
      </c>
    </row>
    <row r="35" customFormat="false" ht="15" hidden="false" customHeight="false" outlineLevel="0" collapsed="false">
      <c r="A35" s="4" t="s">
        <v>258</v>
      </c>
      <c r="B35" s="5" t="n">
        <f aca="false">Financement!$C$24</f>
        <v>10317.7769564803</v>
      </c>
      <c r="C35" s="5" t="n">
        <f aca="false">Financement!$C$25</f>
        <v>10759.5636044766</v>
      </c>
      <c r="D35" s="5" t="n">
        <f aca="false">Financement!$C$26</f>
        <v>11220.266676347</v>
      </c>
    </row>
    <row r="36" customFormat="false" ht="15" hidden="false" customHeight="false" outlineLevel="0" collapsed="false">
      <c r="A36" s="24" t="s">
        <v>259</v>
      </c>
      <c r="B36" s="25" t="n">
        <f aca="false">B34-B35</f>
        <v>39638.924985161</v>
      </c>
      <c r="C36" s="25" t="n">
        <f aca="false">C34-C35</f>
        <v>31818.5866912915</v>
      </c>
      <c r="D36" s="25" t="n">
        <f aca="false">D34-D35</f>
        <v>26707.323730511</v>
      </c>
      <c r="E36" s="2" t="s">
        <v>260</v>
      </c>
    </row>
    <row r="37" customFormat="false" ht="15" hidden="false" customHeight="false" outlineLevel="0" collapsed="false">
      <c r="A37" s="4" t="s">
        <v>261</v>
      </c>
      <c r="B37" s="42" t="n">
        <f aca="false">IF(B35=0,0,B34/B35)</f>
        <v>4.8418086718055</v>
      </c>
      <c r="C37" s="42" t="n">
        <f aca="false">IF(C35=0,0,C34/C35)</f>
        <v>3.95723765953233</v>
      </c>
      <c r="D37" s="42" t="n">
        <f aca="false">IF(D35=0,0,D34/D35)</f>
        <v>3.38027530903625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13" min="2" style="0" width="10.5"/>
    <col collapsed="false" customWidth="true" hidden="false" outlineLevel="0" max="14" min="14" style="0" width="12"/>
  </cols>
  <sheetData>
    <row r="1" customFormat="false" ht="17.35" hidden="false" customHeight="false" outlineLevel="0" collapsed="false">
      <c r="A1" s="1" t="s">
        <v>262</v>
      </c>
    </row>
    <row r="2" customFormat="false" ht="37.5" hidden="false" customHeight="true" outlineLevel="0" collapsed="false">
      <c r="A2" s="43" t="s">
        <v>263</v>
      </c>
      <c r="B2" s="43"/>
      <c r="C2" s="43"/>
      <c r="D2" s="43"/>
      <c r="E2" s="43"/>
      <c r="F2" s="43"/>
      <c r="G2" s="43"/>
      <c r="H2" s="43"/>
      <c r="I2" s="43"/>
      <c r="J2" s="43"/>
      <c r="K2" s="43"/>
      <c r="L2" s="43"/>
      <c r="M2" s="43"/>
      <c r="N2" s="43"/>
    </row>
    <row r="4" customFormat="false" ht="15" hidden="false" customHeight="false" outlineLevel="0" collapsed="false">
      <c r="A4" s="3" t="s">
        <v>213</v>
      </c>
      <c r="B4" s="35" t="n">
        <f aca="false">'Activité A1'!B4</f>
        <v>46388</v>
      </c>
      <c r="C4" s="35" t="n">
        <f aca="false">'Activité A1'!C4</f>
        <v>46419</v>
      </c>
      <c r="D4" s="35" t="n">
        <f aca="false">'Activité A1'!D4</f>
        <v>46447</v>
      </c>
      <c r="E4" s="35" t="n">
        <f aca="false">'Activité A1'!E4</f>
        <v>46478</v>
      </c>
      <c r="F4" s="35" t="n">
        <f aca="false">'Activité A1'!F4</f>
        <v>46508</v>
      </c>
      <c r="G4" s="35" t="n">
        <f aca="false">'Activité A1'!G4</f>
        <v>46539</v>
      </c>
      <c r="H4" s="35" t="n">
        <f aca="false">'Activité A1'!H4</f>
        <v>46569</v>
      </c>
      <c r="I4" s="35" t="n">
        <f aca="false">'Activité A1'!I4</f>
        <v>46600</v>
      </c>
      <c r="J4" s="35" t="n">
        <f aca="false">'Activité A1'!J4</f>
        <v>46631</v>
      </c>
      <c r="K4" s="35" t="n">
        <f aca="false">'Activité A1'!K4</f>
        <v>46661</v>
      </c>
      <c r="L4" s="35" t="n">
        <f aca="false">'Activité A1'!L4</f>
        <v>46692</v>
      </c>
      <c r="M4" s="35" t="n">
        <f aca="false">'Activité A1'!M4</f>
        <v>46722</v>
      </c>
      <c r="N4" s="3" t="s">
        <v>214</v>
      </c>
    </row>
    <row r="5" customFormat="false" ht="15" hidden="false" customHeight="false" outlineLevel="0" collapsed="false">
      <c r="A5" s="13" t="s">
        <v>264</v>
      </c>
      <c r="B5" s="14"/>
      <c r="C5" s="14"/>
      <c r="D5" s="14"/>
      <c r="E5" s="14"/>
      <c r="F5" s="14"/>
      <c r="G5" s="14"/>
      <c r="H5" s="14"/>
      <c r="I5" s="14"/>
      <c r="J5" s="14"/>
      <c r="K5" s="14"/>
      <c r="L5" s="14"/>
      <c r="M5" s="14"/>
      <c r="N5" s="14"/>
    </row>
    <row r="6" customFormat="false" ht="15" hidden="false" customHeight="false" outlineLevel="0" collapsed="false">
      <c r="A6" s="4" t="s">
        <v>265</v>
      </c>
      <c r="B6" s="27" t="n">
        <f aca="false">Hypothèses!$B$23</f>
        <v>1000</v>
      </c>
      <c r="C6" s="27" t="n">
        <v>0</v>
      </c>
      <c r="D6" s="27" t="n">
        <v>0</v>
      </c>
      <c r="E6" s="27" t="n">
        <v>0</v>
      </c>
      <c r="F6" s="27" t="n">
        <v>0</v>
      </c>
      <c r="G6" s="27" t="n">
        <v>0</v>
      </c>
      <c r="H6" s="27" t="n">
        <v>0</v>
      </c>
      <c r="I6" s="27" t="n">
        <v>0</v>
      </c>
      <c r="J6" s="27" t="n">
        <v>0</v>
      </c>
      <c r="K6" s="27" t="n">
        <v>0</v>
      </c>
      <c r="L6" s="27" t="n">
        <v>0</v>
      </c>
      <c r="M6" s="27" t="n">
        <v>0</v>
      </c>
      <c r="N6" s="25" t="n">
        <f aca="false">SUM(B6:M6)</f>
        <v>1000</v>
      </c>
    </row>
    <row r="7" customFormat="false" ht="15" hidden="false" customHeight="false" outlineLevel="0" collapsed="false">
      <c r="A7" s="4" t="s">
        <v>90</v>
      </c>
      <c r="B7" s="27" t="n">
        <f aca="false">Hypothèses!$B$24</f>
        <v>10000</v>
      </c>
      <c r="C7" s="27" t="n">
        <v>0</v>
      </c>
      <c r="D7" s="27" t="n">
        <v>0</v>
      </c>
      <c r="E7" s="27" t="n">
        <v>0</v>
      </c>
      <c r="F7" s="27" t="n">
        <v>0</v>
      </c>
      <c r="G7" s="27" t="n">
        <v>0</v>
      </c>
      <c r="H7" s="27" t="n">
        <v>0</v>
      </c>
      <c r="I7" s="27" t="n">
        <v>0</v>
      </c>
      <c r="J7" s="27" t="n">
        <v>0</v>
      </c>
      <c r="K7" s="27" t="n">
        <v>0</v>
      </c>
      <c r="L7" s="27" t="n">
        <v>0</v>
      </c>
      <c r="M7" s="27" t="n">
        <v>0</v>
      </c>
      <c r="N7" s="25" t="n">
        <f aca="false">SUM(B7:M7)</f>
        <v>10000</v>
      </c>
    </row>
    <row r="8" customFormat="false" ht="15" hidden="false" customHeight="false" outlineLevel="0" collapsed="false">
      <c r="A8" s="4" t="s">
        <v>266</v>
      </c>
      <c r="B8" s="27" t="n">
        <f aca="false">Financement!$E$6+Hypothèses!$B$57*Financement!$B$12</f>
        <v>68300</v>
      </c>
      <c r="C8" s="27" t="n">
        <v>0</v>
      </c>
      <c r="D8" s="27" t="n">
        <v>0</v>
      </c>
      <c r="E8" s="27" t="n">
        <v>0</v>
      </c>
      <c r="F8" s="27" t="n">
        <v>0</v>
      </c>
      <c r="G8" s="27" t="n">
        <v>0</v>
      </c>
      <c r="H8" s="27" t="n">
        <v>0</v>
      </c>
      <c r="I8" s="27" t="n">
        <v>0</v>
      </c>
      <c r="J8" s="27" t="n">
        <v>0</v>
      </c>
      <c r="K8" s="27" t="n">
        <v>0</v>
      </c>
      <c r="L8" s="27" t="n">
        <v>0</v>
      </c>
      <c r="M8" s="27" t="n">
        <v>0</v>
      </c>
      <c r="N8" s="25" t="n">
        <f aca="false">SUM(B8:M8)</f>
        <v>68300</v>
      </c>
    </row>
    <row r="9" customFormat="false" ht="15" hidden="false" customHeight="false" outlineLevel="0" collapsed="false">
      <c r="A9" s="4" t="s">
        <v>267</v>
      </c>
      <c r="B9" s="27" t="n">
        <f aca="false">'Activité A1'!B12*(1+Hypothèses!$B$52)</f>
        <v>3144</v>
      </c>
      <c r="C9" s="27" t="n">
        <f aca="false">'Activité A1'!C12*(1+Hypothèses!$B$52)</f>
        <v>4380</v>
      </c>
      <c r="D9" s="27" t="n">
        <f aca="false">'Activité A1'!D12*(1+Hypothèses!$B$52)</f>
        <v>5952</v>
      </c>
      <c r="E9" s="27" t="n">
        <f aca="false">'Activité A1'!E12*(1+Hypothèses!$B$52)</f>
        <v>7524</v>
      </c>
      <c r="F9" s="27" t="n">
        <f aca="false">'Activité A1'!F12*(1+Hypothèses!$B$52)</f>
        <v>8760</v>
      </c>
      <c r="G9" s="27" t="n">
        <f aca="false">'Activité A1'!G12*(1+Hypothèses!$B$52)</f>
        <v>8760</v>
      </c>
      <c r="H9" s="27" t="n">
        <f aca="false">'Activité A1'!H12*(1+Hypothèses!$B$52)</f>
        <v>7524</v>
      </c>
      <c r="I9" s="27" t="n">
        <f aca="false">'Activité A1'!I12*(1+Hypothèses!$B$52)</f>
        <v>4716</v>
      </c>
      <c r="J9" s="27" t="n">
        <f aca="false">'Activité A1'!J12*(1+Hypothèses!$B$52)</f>
        <v>8760</v>
      </c>
      <c r="K9" s="27" t="n">
        <f aca="false">'Activité A1'!K12*(1+Hypothèses!$B$52)</f>
        <v>8760</v>
      </c>
      <c r="L9" s="27" t="n">
        <f aca="false">'Activité A1'!L12*(1+Hypothèses!$B$52)</f>
        <v>5952</v>
      </c>
      <c r="M9" s="27" t="n">
        <f aca="false">'Activité A1'!M12*(1+Hypothèses!$B$52)</f>
        <v>4380</v>
      </c>
      <c r="N9" s="25" t="n">
        <f aca="false">SUM(B9:M9)</f>
        <v>78612</v>
      </c>
    </row>
    <row r="10" customFormat="false" ht="15" hidden="false" customHeight="false" outlineLevel="0" collapsed="false">
      <c r="A10" s="4" t="s">
        <v>268</v>
      </c>
      <c r="B10" s="27" t="n">
        <v>0</v>
      </c>
      <c r="C10" s="27" t="n">
        <f aca="false">'Activité A1'!B15*(1+Hypothèses!$B$52)</f>
        <v>3120</v>
      </c>
      <c r="D10" s="27" t="n">
        <f aca="false">'Activité A1'!C15*(1+Hypothèses!$B$52)</f>
        <v>3900</v>
      </c>
      <c r="E10" s="27" t="n">
        <f aca="false">'Activité A1'!D15*(1+Hypothèses!$B$52)</f>
        <v>6240</v>
      </c>
      <c r="F10" s="27" t="n">
        <f aca="false">'Activité A1'!E15*(1+Hypothèses!$B$52)</f>
        <v>7800</v>
      </c>
      <c r="G10" s="27" t="n">
        <f aca="false">'Activité A1'!F15*(1+Hypothèses!$B$52)</f>
        <v>7800</v>
      </c>
      <c r="H10" s="27" t="n">
        <f aca="false">'Activité A1'!G15*(1+Hypothèses!$B$52)</f>
        <v>7800</v>
      </c>
      <c r="I10" s="27" t="n">
        <f aca="false">'Activité A1'!H15*(1+Hypothèses!$B$52)</f>
        <v>7020</v>
      </c>
      <c r="J10" s="27" t="n">
        <f aca="false">'Activité A1'!I15*(1+Hypothèses!$B$52)</f>
        <v>3900</v>
      </c>
      <c r="K10" s="27" t="n">
        <f aca="false">'Activité A1'!J15*(1+Hypothèses!$B$52)</f>
        <v>8580</v>
      </c>
      <c r="L10" s="27" t="n">
        <f aca="false">'Activité A1'!K15*(1+Hypothèses!$B$52)</f>
        <v>8580</v>
      </c>
      <c r="M10" s="27" t="n">
        <f aca="false">'Activité A1'!L15*(1+Hypothèses!$B$52)</f>
        <v>7020</v>
      </c>
      <c r="N10" s="25" t="n">
        <f aca="false">SUM(B10:M10)</f>
        <v>71760</v>
      </c>
    </row>
    <row r="11" customFormat="false" ht="15" hidden="false" customHeight="false" outlineLevel="0" collapsed="false">
      <c r="A11" s="24" t="s">
        <v>269</v>
      </c>
      <c r="B11" s="25" t="n">
        <f aca="false">SUM(B6:B10)</f>
        <v>82444</v>
      </c>
      <c r="C11" s="25" t="n">
        <f aca="false">SUM(C6:C10)</f>
        <v>7500</v>
      </c>
      <c r="D11" s="25" t="n">
        <f aca="false">SUM(D6:D10)</f>
        <v>9852</v>
      </c>
      <c r="E11" s="25" t="n">
        <f aca="false">SUM(E6:E10)</f>
        <v>13764</v>
      </c>
      <c r="F11" s="25" t="n">
        <f aca="false">SUM(F6:F10)</f>
        <v>16560</v>
      </c>
      <c r="G11" s="25" t="n">
        <f aca="false">SUM(G6:G10)</f>
        <v>16560</v>
      </c>
      <c r="H11" s="25" t="n">
        <f aca="false">SUM(H6:H10)</f>
        <v>15324</v>
      </c>
      <c r="I11" s="25" t="n">
        <f aca="false">SUM(I6:I10)</f>
        <v>11736</v>
      </c>
      <c r="J11" s="25" t="n">
        <f aca="false">SUM(J6:J10)</f>
        <v>12660</v>
      </c>
      <c r="K11" s="25" t="n">
        <f aca="false">SUM(K6:K10)</f>
        <v>17340</v>
      </c>
      <c r="L11" s="25" t="n">
        <f aca="false">SUM(L6:L10)</f>
        <v>14532</v>
      </c>
      <c r="M11" s="25" t="n">
        <f aca="false">SUM(M6:M10)</f>
        <v>11400</v>
      </c>
      <c r="N11" s="25" t="n">
        <f aca="false">SUM(B11:M11)</f>
        <v>229672</v>
      </c>
    </row>
    <row r="13" customFormat="false" ht="15" hidden="false" customHeight="false" outlineLevel="0" collapsed="false">
      <c r="A13" s="13" t="s">
        <v>270</v>
      </c>
      <c r="B13" s="14"/>
      <c r="C13" s="14"/>
      <c r="D13" s="14"/>
      <c r="E13" s="14"/>
      <c r="F13" s="14"/>
      <c r="G13" s="14"/>
      <c r="H13" s="14"/>
      <c r="I13" s="14"/>
      <c r="J13" s="14"/>
      <c r="K13" s="14"/>
      <c r="L13" s="14"/>
      <c r="M13" s="14"/>
      <c r="N13" s="14"/>
    </row>
    <row r="14" customFormat="false" ht="15" hidden="false" customHeight="false" outlineLevel="0" collapsed="false">
      <c r="A14" s="4" t="s">
        <v>271</v>
      </c>
      <c r="B14" s="27" t="n">
        <f aca="false">(Hypothèses!$B$9+Hypothèses!$B$10+Hypothèses!$B$11+Hypothèses!$B$12)*(1+Hypothèses!$B$52)</f>
        <v>72600</v>
      </c>
      <c r="C14" s="27" t="n">
        <v>0</v>
      </c>
      <c r="D14" s="27" t="n">
        <v>0</v>
      </c>
      <c r="E14" s="27" t="n">
        <v>0</v>
      </c>
      <c r="F14" s="27" t="n">
        <v>0</v>
      </c>
      <c r="G14" s="27" t="n">
        <v>0</v>
      </c>
      <c r="H14" s="27" t="n">
        <v>0</v>
      </c>
      <c r="I14" s="27" t="n">
        <v>0</v>
      </c>
      <c r="J14" s="27" t="n">
        <v>0</v>
      </c>
      <c r="K14" s="27" t="n">
        <v>0</v>
      </c>
      <c r="L14" s="27" t="n">
        <v>0</v>
      </c>
      <c r="M14" s="27" t="n">
        <v>0</v>
      </c>
      <c r="N14" s="25" t="n">
        <f aca="false">SUM(B14:M14)</f>
        <v>72600</v>
      </c>
    </row>
    <row r="15" customFormat="false" ht="15" hidden="false" customHeight="false" outlineLevel="0" collapsed="false">
      <c r="A15" s="4" t="s">
        <v>272</v>
      </c>
      <c r="B15" s="27" t="n">
        <f aca="false">Hypothèses!$B$13+Hypothèses!$B$27</f>
        <v>1700</v>
      </c>
      <c r="C15" s="27" t="n">
        <v>0</v>
      </c>
      <c r="D15" s="27" t="n">
        <v>0</v>
      </c>
      <c r="E15" s="27" t="n">
        <v>0</v>
      </c>
      <c r="F15" s="27" t="n">
        <v>0</v>
      </c>
      <c r="G15" s="27" t="n">
        <v>0</v>
      </c>
      <c r="H15" s="27" t="n">
        <v>0</v>
      </c>
      <c r="I15" s="27" t="n">
        <v>0</v>
      </c>
      <c r="J15" s="27" t="n">
        <v>0</v>
      </c>
      <c r="K15" s="27" t="n">
        <v>0</v>
      </c>
      <c r="L15" s="27" t="n">
        <v>0</v>
      </c>
      <c r="M15" s="27" t="n">
        <v>0</v>
      </c>
      <c r="N15" s="25" t="n">
        <f aca="false">SUM(B15:M15)</f>
        <v>1700</v>
      </c>
    </row>
    <row r="16" customFormat="false" ht="15" hidden="false" customHeight="false" outlineLevel="0" collapsed="false">
      <c r="A16" s="4" t="s">
        <v>273</v>
      </c>
      <c r="B16" s="27" t="n">
        <f aca="false">'Activité A1'!B15*Hypothèses!$B$39*(1+Hypothèses!$B$52)</f>
        <v>936</v>
      </c>
      <c r="C16" s="27" t="n">
        <f aca="false">'Activité A1'!C15*Hypothèses!$B$39*(1+Hypothèses!$B$52)</f>
        <v>1170</v>
      </c>
      <c r="D16" s="27" t="n">
        <f aca="false">'Activité A1'!D15*Hypothèses!$B$39*(1+Hypothèses!$B$52)</f>
        <v>1872</v>
      </c>
      <c r="E16" s="27" t="n">
        <f aca="false">'Activité A1'!E15*Hypothèses!$B$39*(1+Hypothèses!$B$52)</f>
        <v>2340</v>
      </c>
      <c r="F16" s="27" t="n">
        <f aca="false">'Activité A1'!F15*Hypothèses!$B$39*(1+Hypothèses!$B$52)</f>
        <v>2340</v>
      </c>
      <c r="G16" s="27" t="n">
        <f aca="false">'Activité A1'!G15*Hypothèses!$B$39*(1+Hypothèses!$B$52)</f>
        <v>2340</v>
      </c>
      <c r="H16" s="27" t="n">
        <f aca="false">'Activité A1'!H15*Hypothèses!$B$39*(1+Hypothèses!$B$52)</f>
        <v>2106</v>
      </c>
      <c r="I16" s="27" t="n">
        <f aca="false">'Activité A1'!I15*Hypothèses!$B$39*(1+Hypothèses!$B$52)</f>
        <v>1170</v>
      </c>
      <c r="J16" s="27" t="n">
        <f aca="false">'Activité A1'!J15*Hypothèses!$B$39*(1+Hypothèses!$B$52)</f>
        <v>2574</v>
      </c>
      <c r="K16" s="27" t="n">
        <f aca="false">'Activité A1'!K15*Hypothèses!$B$39*(1+Hypothèses!$B$52)</f>
        <v>2574</v>
      </c>
      <c r="L16" s="27" t="n">
        <f aca="false">'Activité A1'!L15*Hypothèses!$B$39*(1+Hypothèses!$B$52)</f>
        <v>2106</v>
      </c>
      <c r="M16" s="27" t="n">
        <f aca="false">'Activité A1'!M15*Hypothèses!$B$39*(1+Hypothèses!$B$52)</f>
        <v>1872</v>
      </c>
      <c r="N16" s="25" t="n">
        <f aca="false">SUM(B16:M16)</f>
        <v>23400</v>
      </c>
    </row>
    <row r="17" customFormat="false" ht="15" hidden="false" customHeight="false" outlineLevel="0" collapsed="false">
      <c r="A17" s="4" t="s">
        <v>274</v>
      </c>
      <c r="B17" s="27" t="n">
        <f aca="false">('Activité A1'!B6*Hypothèses!$B$40+'Activité A1'!B15*Hypothèses!$B$42+'Activité A1'!B7*Hypothèses!$B$41)*(1+Hypothèses!$B$52)</f>
        <v>331.2</v>
      </c>
      <c r="C17" s="27" t="n">
        <f aca="false">('Activité A1'!C6*Hypothèses!$B$40+'Activité A1'!C15*Hypothèses!$B$42+'Activité A1'!C7*Hypothèses!$B$41)*(1+Hypothèses!$B$52)</f>
        <v>438</v>
      </c>
      <c r="D17" s="27" t="n">
        <f aca="false">('Activité A1'!D6*Hypothèses!$B$40+'Activité A1'!D15*Hypothèses!$B$42+'Activité A1'!D7*Hypothèses!$B$41)*(1+Hypothèses!$B$52)</f>
        <v>650.4</v>
      </c>
      <c r="E17" s="27" t="n">
        <f aca="false">('Activité A1'!E6*Hypothèses!$B$40+'Activité A1'!E15*Hypothèses!$B$42+'Activité A1'!E7*Hypothèses!$B$41)*(1+Hypothèses!$B$52)</f>
        <v>816</v>
      </c>
      <c r="F17" s="27" t="n">
        <f aca="false">('Activité A1'!F6*Hypothèses!$B$40+'Activité A1'!F15*Hypothèses!$B$42+'Activité A1'!F7*Hypothèses!$B$41)*(1+Hypothèses!$B$52)</f>
        <v>876</v>
      </c>
      <c r="G17" s="27" t="n">
        <f aca="false">('Activité A1'!G6*Hypothèses!$B$40+'Activité A1'!G15*Hypothèses!$B$42+'Activité A1'!G7*Hypothèses!$B$41)*(1+Hypothèses!$B$52)</f>
        <v>876</v>
      </c>
      <c r="H17" s="27" t="n">
        <f aca="false">('Activité A1'!H6*Hypothèses!$B$40+'Activité A1'!H15*Hypothèses!$B$42+'Activité A1'!H7*Hypothèses!$B$41)*(1+Hypothèses!$B$52)</f>
        <v>769.2</v>
      </c>
      <c r="I17" s="27" t="n">
        <f aca="false">('Activité A1'!I6*Hypothèses!$B$40+'Activité A1'!I15*Hypothèses!$B$42+'Activité A1'!I7*Hypothèses!$B$41)*(1+Hypothèses!$B$52)</f>
        <v>450</v>
      </c>
      <c r="J17" s="27" t="n">
        <f aca="false">('Activité A1'!J6*Hypothèses!$B$40+'Activité A1'!J15*Hypothèses!$B$42+'Activité A1'!J7*Hypothèses!$B$41)*(1+Hypothèses!$B$52)</f>
        <v>922.8</v>
      </c>
      <c r="K17" s="27" t="n">
        <f aca="false">('Activité A1'!K6*Hypothèses!$B$40+'Activité A1'!K15*Hypothèses!$B$42+'Activité A1'!K7*Hypothèses!$B$41)*(1+Hypothèses!$B$52)</f>
        <v>922.8</v>
      </c>
      <c r="L17" s="27" t="n">
        <f aca="false">('Activité A1'!L6*Hypothèses!$B$40+'Activité A1'!L15*Hypothèses!$B$42+'Activité A1'!L7*Hypothèses!$B$41)*(1+Hypothèses!$B$52)</f>
        <v>697.2</v>
      </c>
      <c r="M17" s="27" t="n">
        <f aca="false">('Activité A1'!M6*Hypothèses!$B$40+'Activité A1'!M15*Hypothèses!$B$42+'Activité A1'!M7*Hypothèses!$B$41)*(1+Hypothèses!$B$52)</f>
        <v>578.4</v>
      </c>
      <c r="N17" s="25" t="n">
        <f aca="false">SUM(B17:M17)</f>
        <v>8328</v>
      </c>
    </row>
    <row r="18" customFormat="false" ht="15" hidden="false" customHeight="false" outlineLevel="0" collapsed="false">
      <c r="A18" s="4" t="s">
        <v>275</v>
      </c>
      <c r="B18" s="27" t="n">
        <f aca="false">SUMPRODUCT(Hypothèses!$B$61:$B$75,1+Hypothèses!$E$61:$E$75*Hypothèses!$B$52)/12</f>
        <v>1637</v>
      </c>
      <c r="C18" s="27" t="n">
        <f aca="false">SUMPRODUCT(Hypothèses!$B$61:$B$75,1+Hypothèses!$E$61:$E$75*Hypothèses!$B$52)/12</f>
        <v>1637</v>
      </c>
      <c r="D18" s="27" t="n">
        <f aca="false">SUMPRODUCT(Hypothèses!$B$61:$B$75,1+Hypothèses!$E$61:$E$75*Hypothèses!$B$52)/12</f>
        <v>1637</v>
      </c>
      <c r="E18" s="27" t="n">
        <f aca="false">SUMPRODUCT(Hypothèses!$B$61:$B$75,1+Hypothèses!$E$61:$E$75*Hypothèses!$B$52)/12</f>
        <v>1637</v>
      </c>
      <c r="F18" s="27" t="n">
        <f aca="false">SUMPRODUCT(Hypothèses!$B$61:$B$75,1+Hypothèses!$E$61:$E$75*Hypothèses!$B$52)/12</f>
        <v>1637</v>
      </c>
      <c r="G18" s="27" t="n">
        <f aca="false">SUMPRODUCT(Hypothèses!$B$61:$B$75,1+Hypothèses!$E$61:$E$75*Hypothèses!$B$52)/12</f>
        <v>1637</v>
      </c>
      <c r="H18" s="27" t="n">
        <f aca="false">SUMPRODUCT(Hypothèses!$B$61:$B$75,1+Hypothèses!$E$61:$E$75*Hypothèses!$B$52)/12</f>
        <v>1637</v>
      </c>
      <c r="I18" s="27" t="n">
        <f aca="false">SUMPRODUCT(Hypothèses!$B$61:$B$75,1+Hypothèses!$E$61:$E$75*Hypothèses!$B$52)/12</f>
        <v>1637</v>
      </c>
      <c r="J18" s="27" t="n">
        <f aca="false">SUMPRODUCT(Hypothèses!$B$61:$B$75,1+Hypothèses!$E$61:$E$75*Hypothèses!$B$52)/12</f>
        <v>1637</v>
      </c>
      <c r="K18" s="27" t="n">
        <f aca="false">SUMPRODUCT(Hypothèses!$B$61:$B$75,1+Hypothèses!$E$61:$E$75*Hypothèses!$B$52)/12</f>
        <v>1637</v>
      </c>
      <c r="L18" s="27" t="n">
        <f aca="false">SUMPRODUCT(Hypothèses!$B$61:$B$75,1+Hypothèses!$E$61:$E$75*Hypothèses!$B$52)/12</f>
        <v>1637</v>
      </c>
      <c r="M18" s="27" t="n">
        <f aca="false">SUMPRODUCT(Hypothèses!$B$61:$B$75,1+Hypothèses!$E$61:$E$75*Hypothèses!$B$52)/12</f>
        <v>1637</v>
      </c>
      <c r="N18" s="25" t="n">
        <f aca="false">SUM(B18:M18)</f>
        <v>19644</v>
      </c>
    </row>
    <row r="19" customFormat="false" ht="15" hidden="false" customHeight="false" outlineLevel="0" collapsed="false">
      <c r="A19" s="4" t="s">
        <v>276</v>
      </c>
      <c r="B19" s="27" t="n">
        <f aca="false">IF(1&gt;=Hypothèses!$B$48,Hypothèses!$B$47*Hypothèses!$B$45,0)</f>
        <v>0</v>
      </c>
      <c r="C19" s="27" t="n">
        <f aca="false">IF(2&gt;=Hypothèses!$B$48,Hypothèses!$B$47*Hypothèses!$B$45,0)</f>
        <v>0</v>
      </c>
      <c r="D19" s="27" t="n">
        <f aca="false">IF(3&gt;=Hypothèses!$B$48,Hypothèses!$B$47*Hypothèses!$B$45,0)</f>
        <v>0</v>
      </c>
      <c r="E19" s="27" t="n">
        <f aca="false">IF(4&gt;=Hypothèses!$B$48,Hypothèses!$B$47*Hypothèses!$B$45,0)</f>
        <v>2000</v>
      </c>
      <c r="F19" s="27" t="n">
        <f aca="false">IF(5&gt;=Hypothèses!$B$48,Hypothèses!$B$47*Hypothèses!$B$45,0)</f>
        <v>2000</v>
      </c>
      <c r="G19" s="27" t="n">
        <f aca="false">IF(6&gt;=Hypothèses!$B$48,Hypothèses!$B$47*Hypothèses!$B$45,0)</f>
        <v>2000</v>
      </c>
      <c r="H19" s="27" t="n">
        <f aca="false">IF(7&gt;=Hypothèses!$B$48,Hypothèses!$B$47*Hypothèses!$B$45,0)</f>
        <v>2000</v>
      </c>
      <c r="I19" s="27" t="n">
        <f aca="false">IF(8&gt;=Hypothèses!$B$48,Hypothèses!$B$47*Hypothèses!$B$45,0)</f>
        <v>2000</v>
      </c>
      <c r="J19" s="27" t="n">
        <f aca="false">IF(9&gt;=Hypothèses!$B$48,Hypothèses!$B$47*Hypothèses!$B$45,0)</f>
        <v>2000</v>
      </c>
      <c r="K19" s="27" t="n">
        <f aca="false">IF(10&gt;=Hypothèses!$B$48,Hypothèses!$B$47*Hypothèses!$B$45,0)</f>
        <v>2000</v>
      </c>
      <c r="L19" s="27" t="n">
        <f aca="false">IF(11&gt;=Hypothèses!$B$48,Hypothèses!$B$47*Hypothèses!$B$45,0)</f>
        <v>2000</v>
      </c>
      <c r="M19" s="27" t="n">
        <f aca="false">IF(12&gt;=Hypothèses!$B$48,Hypothèses!$B$47*Hypothèses!$B$45,0)</f>
        <v>2000</v>
      </c>
      <c r="N19" s="25" t="n">
        <f aca="false">SUM(B19:M19)</f>
        <v>18000</v>
      </c>
    </row>
    <row r="20" customFormat="false" ht="15" hidden="false" customHeight="false" outlineLevel="0" collapsed="false">
      <c r="A20" s="4" t="s">
        <v>244</v>
      </c>
      <c r="B20" s="27" t="n">
        <f aca="false">B19*Hypothèses!$B$49</f>
        <v>0</v>
      </c>
      <c r="C20" s="27" t="n">
        <f aca="false">C19*Hypothèses!$B$49</f>
        <v>0</v>
      </c>
      <c r="D20" s="27" t="n">
        <f aca="false">D19*Hypothèses!$B$49</f>
        <v>0</v>
      </c>
      <c r="E20" s="27" t="n">
        <f aca="false">E19*Hypothèses!$B$49</f>
        <v>900</v>
      </c>
      <c r="F20" s="27" t="n">
        <f aca="false">F19*Hypothèses!$B$49</f>
        <v>900</v>
      </c>
      <c r="G20" s="27" t="n">
        <f aca="false">G19*Hypothèses!$B$49</f>
        <v>900</v>
      </c>
      <c r="H20" s="27" t="n">
        <f aca="false">H19*Hypothèses!$B$49</f>
        <v>900</v>
      </c>
      <c r="I20" s="27" t="n">
        <f aca="false">I19*Hypothèses!$B$49</f>
        <v>900</v>
      </c>
      <c r="J20" s="27" t="n">
        <f aca="false">J19*Hypothèses!$B$49</f>
        <v>900</v>
      </c>
      <c r="K20" s="27" t="n">
        <f aca="false">K19*Hypothèses!$B$49</f>
        <v>900</v>
      </c>
      <c r="L20" s="27" t="n">
        <f aca="false">L19*Hypothèses!$B$49</f>
        <v>900</v>
      </c>
      <c r="M20" s="27" t="n">
        <f aca="false">M19*Hypothèses!$B$49</f>
        <v>900</v>
      </c>
      <c r="N20" s="25" t="n">
        <f aca="false">SUM(B20:M20)</f>
        <v>8100</v>
      </c>
    </row>
    <row r="21" customFormat="false" ht="15" hidden="false" customHeight="false" outlineLevel="0" collapsed="false">
      <c r="A21" s="4" t="s">
        <v>277</v>
      </c>
      <c r="B21" s="27" t="n">
        <f aca="false">Financement!$J$5+Financement!$K$5+IF(1=MAX(1,Hypothèses!$B$56),Hypothèses!$B$57*Financement!$B$12,0)</f>
        <v>1040.08860470951</v>
      </c>
      <c r="C21" s="27" t="n">
        <f aca="false">Financement!$J$6+Financement!$K$6+IF(2=MAX(1,Hypothèses!$B$56),Hypothèses!$B$57*Financement!$B$12,0)</f>
        <v>1040.08860470951</v>
      </c>
      <c r="D21" s="27" t="n">
        <f aca="false">Financement!$J$7+Financement!$K$7+IF(3=MAX(1,Hypothèses!$B$56),Hypothèses!$B$57*Financement!$B$12,0)</f>
        <v>13140.0886047095</v>
      </c>
      <c r="E21" s="27" t="n">
        <f aca="false">Financement!$J$8+Financement!$K$8+IF(4=MAX(1,Hypothèses!$B$56),Hypothèses!$B$57*Financement!$B$12,0)</f>
        <v>1040.08860470951</v>
      </c>
      <c r="F21" s="27" t="n">
        <f aca="false">Financement!$J$9+Financement!$K$9+IF(5=MAX(1,Hypothèses!$B$56),Hypothèses!$B$57*Financement!$B$12,0)</f>
        <v>1040.08860470951</v>
      </c>
      <c r="G21" s="27" t="n">
        <f aca="false">Financement!$J$10+Financement!$K$10+IF(6=MAX(1,Hypothèses!$B$56),Hypothèses!$B$57*Financement!$B$12,0)</f>
        <v>1040.08860470951</v>
      </c>
      <c r="H21" s="27" t="n">
        <f aca="false">Financement!$J$11+Financement!$K$11+IF(7=MAX(1,Hypothèses!$B$56),Hypothèses!$B$57*Financement!$B$12,0)</f>
        <v>1040.08860470951</v>
      </c>
      <c r="I21" s="27" t="n">
        <f aca="false">Financement!$J$12+Financement!$K$12+IF(8=MAX(1,Hypothèses!$B$56),Hypothèses!$B$57*Financement!$B$12,0)</f>
        <v>1040.08860470951</v>
      </c>
      <c r="J21" s="27" t="n">
        <f aca="false">Financement!$J$13+Financement!$K$13+IF(9=MAX(1,Hypothèses!$B$56),Hypothèses!$B$57*Financement!$B$12,0)</f>
        <v>1040.08860470951</v>
      </c>
      <c r="K21" s="27" t="n">
        <f aca="false">Financement!$J$14+Financement!$K$14+IF(10=MAX(1,Hypothèses!$B$56),Hypothèses!$B$57*Financement!$B$12,0)</f>
        <v>1040.08860470951</v>
      </c>
      <c r="L21" s="27" t="n">
        <f aca="false">Financement!$J$15+Financement!$K$15+IF(11=MAX(1,Hypothèses!$B$56),Hypothèses!$B$57*Financement!$B$12,0)</f>
        <v>1040.08860470951</v>
      </c>
      <c r="M21" s="27" t="n">
        <f aca="false">Financement!$J$16+Financement!$K$16+IF(12=MAX(1,Hypothèses!$B$56),Hypothèses!$B$57*Financement!$B$12,0)</f>
        <v>1040.08860470951</v>
      </c>
      <c r="N21" s="25" t="n">
        <f aca="false">SUM(B21:M21)</f>
        <v>24581.0632565141</v>
      </c>
    </row>
    <row r="22" customFormat="false" ht="15" hidden="false" customHeight="false" outlineLevel="0" collapsed="false">
      <c r="A22" s="4" t="s">
        <v>278</v>
      </c>
      <c r="B22" s="27" t="n">
        <v>0</v>
      </c>
      <c r="C22" s="27" t="n">
        <f aca="false">B31-IF(2=Hypothèses!$B$56,B32,0)</f>
        <v>0</v>
      </c>
      <c r="D22" s="27" t="n">
        <f aca="false">C31-IF(3=Hypothèses!$B$56,C32,0)</f>
        <v>-11175.8666666667</v>
      </c>
      <c r="E22" s="27" t="n">
        <f aca="false">D31-IF(4=Hypothèses!$B$56,D32,0)</f>
        <v>1036.26666666667</v>
      </c>
      <c r="F22" s="27" t="n">
        <f aca="false">E31-IF(5=Hypothèses!$B$56,E32,0)</f>
        <v>1582.66666666667</v>
      </c>
      <c r="G22" s="27" t="n">
        <f aca="false">F31-IF(6=Hypothèses!$B$56,F32,0)</f>
        <v>2038.66666666667</v>
      </c>
      <c r="H22" s="27" t="n">
        <f aca="false">G31-IF(7=Hypothèses!$B$56,G32,0)</f>
        <v>2038.66666666667</v>
      </c>
      <c r="I22" s="27" t="n">
        <f aca="false">H31-IF(8=Hypothèses!$B$56,H32,0)</f>
        <v>1889.46666666667</v>
      </c>
      <c r="J22" s="27" t="n">
        <f aca="false">I31-IF(9=Hypothèses!$B$56,I32,0)</f>
        <v>1500.66666666667</v>
      </c>
      <c r="K22" s="27" t="n">
        <f aca="false">J31-IF(10=Hypothèses!$B$56,J32,0)</f>
        <v>1341.86666666667</v>
      </c>
      <c r="L22" s="27" t="n">
        <f aca="false">K31-IF(11=Hypothèses!$B$56,K32,0)</f>
        <v>2121.86666666667</v>
      </c>
      <c r="M22" s="27" t="n">
        <f aca="false">L31-IF(12=Hypothèses!$B$56,L32,0)</f>
        <v>1769.46666666667</v>
      </c>
      <c r="N22" s="25" t="n">
        <f aca="false">SUM(B22:M22)</f>
        <v>4143.73333333333</v>
      </c>
    </row>
    <row r="23" customFormat="false" ht="15" hidden="false" customHeight="false" outlineLevel="0" collapsed="false">
      <c r="A23" s="24" t="s">
        <v>279</v>
      </c>
      <c r="B23" s="25" t="n">
        <f aca="false">SUM(B14:B22)</f>
        <v>78244.2886047095</v>
      </c>
      <c r="C23" s="25" t="n">
        <f aca="false">SUM(C14:C22)</f>
        <v>4285.08860470951</v>
      </c>
      <c r="D23" s="25" t="n">
        <f aca="false">SUM(D14:D22)</f>
        <v>6123.62193804284</v>
      </c>
      <c r="E23" s="25" t="n">
        <f aca="false">SUM(E14:E22)</f>
        <v>9769.35527137618</v>
      </c>
      <c r="F23" s="25" t="n">
        <f aca="false">SUM(F14:F22)</f>
        <v>10375.7552713762</v>
      </c>
      <c r="G23" s="25" t="n">
        <f aca="false">SUM(G14:G22)</f>
        <v>10831.7552713762</v>
      </c>
      <c r="H23" s="25" t="n">
        <f aca="false">SUM(H14:H22)</f>
        <v>10490.9552713762</v>
      </c>
      <c r="I23" s="25" t="n">
        <f aca="false">SUM(I14:I22)</f>
        <v>9086.55527137618</v>
      </c>
      <c r="J23" s="25" t="n">
        <f aca="false">SUM(J14:J22)</f>
        <v>10574.5552713762</v>
      </c>
      <c r="K23" s="25" t="n">
        <f aca="false">SUM(K14:K22)</f>
        <v>10415.7552713762</v>
      </c>
      <c r="L23" s="25" t="n">
        <f aca="false">SUM(L14:L22)</f>
        <v>10502.1552713762</v>
      </c>
      <c r="M23" s="25" t="n">
        <f aca="false">SUM(M14:M22)</f>
        <v>9796.95527137618</v>
      </c>
      <c r="N23" s="25" t="n">
        <f aca="false">SUM(B23:M23)</f>
        <v>180496.796589847</v>
      </c>
    </row>
    <row r="25" customFormat="false" ht="15" hidden="false" customHeight="false" outlineLevel="0" collapsed="false">
      <c r="A25" s="6" t="s">
        <v>280</v>
      </c>
      <c r="B25" s="40" t="n">
        <f aca="false">B11-B23</f>
        <v>4199.71139529049</v>
      </c>
      <c r="C25" s="40" t="n">
        <f aca="false">C11-C23</f>
        <v>3214.91139529049</v>
      </c>
      <c r="D25" s="40" t="n">
        <f aca="false">D11-D23</f>
        <v>3728.37806195716</v>
      </c>
      <c r="E25" s="40" t="n">
        <f aca="false">E11-E23</f>
        <v>3994.64472862383</v>
      </c>
      <c r="F25" s="40" t="n">
        <f aca="false">F11-F23</f>
        <v>6184.24472862383</v>
      </c>
      <c r="G25" s="40" t="n">
        <f aca="false">G11-G23</f>
        <v>5728.24472862383</v>
      </c>
      <c r="H25" s="40" t="n">
        <f aca="false">H11-H23</f>
        <v>4833.04472862383</v>
      </c>
      <c r="I25" s="40" t="n">
        <f aca="false">I11-I23</f>
        <v>2649.44472862382</v>
      </c>
      <c r="J25" s="40" t="n">
        <f aca="false">J11-J23</f>
        <v>2085.44472862383</v>
      </c>
      <c r="K25" s="40" t="n">
        <f aca="false">K11-K23</f>
        <v>6924.24472862383</v>
      </c>
      <c r="L25" s="40" t="n">
        <f aca="false">L11-L23</f>
        <v>4029.84472862383</v>
      </c>
      <c r="M25" s="40" t="n">
        <f aca="false">M11-M23</f>
        <v>1603.04472862383</v>
      </c>
      <c r="N25" s="25" t="n">
        <f aca="false">SUM(B25:M25)</f>
        <v>49175.2034101526</v>
      </c>
    </row>
    <row r="26" customFormat="false" ht="15" hidden="false" customHeight="false" outlineLevel="0" collapsed="false">
      <c r="A26" s="13" t="s">
        <v>281</v>
      </c>
      <c r="B26" s="41" t="n">
        <f aca="false">B25</f>
        <v>4199.71139529049</v>
      </c>
      <c r="C26" s="41" t="n">
        <f aca="false">B26+C25</f>
        <v>7414.62279058098</v>
      </c>
      <c r="D26" s="41" t="n">
        <f aca="false">C26+D25</f>
        <v>11143.0008525381</v>
      </c>
      <c r="E26" s="41" t="n">
        <f aca="false">D26+E25</f>
        <v>15137.645581162</v>
      </c>
      <c r="F26" s="41" t="n">
        <f aca="false">E26+F25</f>
        <v>21321.8903097858</v>
      </c>
      <c r="G26" s="41" t="n">
        <f aca="false">F26+G25</f>
        <v>27050.1350384096</v>
      </c>
      <c r="H26" s="41" t="n">
        <f aca="false">G26+H25</f>
        <v>31883.1797670334</v>
      </c>
      <c r="I26" s="41" t="n">
        <f aca="false">H26+I25</f>
        <v>34532.6244956573</v>
      </c>
      <c r="J26" s="41" t="n">
        <f aca="false">I26+J25</f>
        <v>36618.0692242811</v>
      </c>
      <c r="K26" s="41" t="n">
        <f aca="false">J26+K25</f>
        <v>43542.3139529049</v>
      </c>
      <c r="L26" s="41" t="n">
        <f aca="false">K26+L25</f>
        <v>47572.1586815287</v>
      </c>
      <c r="M26" s="41" t="n">
        <f aca="false">L26+M25</f>
        <v>49175.2034101526</v>
      </c>
      <c r="N26" s="25" t="n">
        <f aca="false">M26</f>
        <v>49175.2034101526</v>
      </c>
    </row>
    <row r="28" customFormat="false" ht="15" hidden="false" customHeight="false" outlineLevel="0" collapsed="false">
      <c r="A28" s="13" t="s">
        <v>282</v>
      </c>
      <c r="B28" s="14"/>
      <c r="C28" s="14"/>
      <c r="D28" s="14"/>
      <c r="E28" s="14"/>
      <c r="F28" s="14"/>
      <c r="G28" s="14"/>
      <c r="H28" s="14"/>
      <c r="I28" s="14"/>
      <c r="J28" s="14"/>
      <c r="K28" s="14"/>
      <c r="L28" s="14"/>
      <c r="M28" s="14"/>
      <c r="N28" s="14"/>
    </row>
    <row r="29" customFormat="false" ht="15" hidden="false" customHeight="false" outlineLevel="0" collapsed="false">
      <c r="A29" s="4" t="s">
        <v>283</v>
      </c>
      <c r="B29" s="27" t="n">
        <f aca="false">(B9+B10)/(1+Hypothèses!$B$52)*Hypothèses!$B$52</f>
        <v>524</v>
      </c>
      <c r="C29" s="27" t="n">
        <f aca="false">(C9+C10)/(1+Hypothèses!$B$52)*Hypothèses!$B$52</f>
        <v>1250</v>
      </c>
      <c r="D29" s="27" t="n">
        <f aca="false">(D9+D10)/(1+Hypothèses!$B$52)*Hypothèses!$B$52</f>
        <v>1642</v>
      </c>
      <c r="E29" s="27" t="n">
        <f aca="false">(E9+E10)/(1+Hypothèses!$B$52)*Hypothèses!$B$52</f>
        <v>2294</v>
      </c>
      <c r="F29" s="27" t="n">
        <f aca="false">(F9+F10)/(1+Hypothèses!$B$52)*Hypothèses!$B$52</f>
        <v>2760</v>
      </c>
      <c r="G29" s="27" t="n">
        <f aca="false">(G9+G10)/(1+Hypothèses!$B$52)*Hypothèses!$B$52</f>
        <v>2760</v>
      </c>
      <c r="H29" s="27" t="n">
        <f aca="false">(H9+H10)/(1+Hypothèses!$B$52)*Hypothèses!$B$52</f>
        <v>2554</v>
      </c>
      <c r="I29" s="27" t="n">
        <f aca="false">(I9+I10)/(1+Hypothèses!$B$52)*Hypothèses!$B$52</f>
        <v>1956</v>
      </c>
      <c r="J29" s="27" t="n">
        <f aca="false">(J9+J10)/(1+Hypothèses!$B$52)*Hypothèses!$B$52</f>
        <v>2110</v>
      </c>
      <c r="K29" s="27" t="n">
        <f aca="false">(K9+K10)/(1+Hypothèses!$B$52)*Hypothèses!$B$52</f>
        <v>2890</v>
      </c>
      <c r="L29" s="27" t="n">
        <f aca="false">(L9+L10)/(1+Hypothèses!$B$52)*Hypothèses!$B$52</f>
        <v>2422</v>
      </c>
      <c r="M29" s="27" t="n">
        <f aca="false">(M9+M10)/(1+Hypothèses!$B$52)*Hypothèses!$B$52</f>
        <v>1900</v>
      </c>
      <c r="N29" s="25" t="n">
        <f aca="false">SUM(B29:M29)</f>
        <v>25062</v>
      </c>
    </row>
    <row r="30" customFormat="false" ht="15" hidden="false" customHeight="false" outlineLevel="0" collapsed="false">
      <c r="A30" s="4" t="s">
        <v>284</v>
      </c>
      <c r="B30" s="27" t="n">
        <f aca="false">(B14+B16+B17)/(1+Hypothèses!$B$52)*Hypothèses!$B$52+SUMPRODUCT(Hypothèses!$B$61:$B$75,Hypothèses!$E$61:$E$75)*Hypothèses!$B$52/12</f>
        <v>12496.5333333333</v>
      </c>
      <c r="C30" s="27" t="n">
        <f aca="false">(C14+C16+C17)/(1+Hypothèses!$B$52)*Hypothèses!$B$52+SUMPRODUCT(Hypothèses!$B$61:$B$75,Hypothèses!$E$61:$E$75)*Hypothèses!$B$52/12</f>
        <v>453.333333333333</v>
      </c>
      <c r="D30" s="27" t="n">
        <f aca="false">(D14+D16+D17)/(1+Hypothèses!$B$52)*Hypothèses!$B$52+SUMPRODUCT(Hypothèses!$B$61:$B$75,Hypothèses!$E$61:$E$75)*Hypothèses!$B$52/12</f>
        <v>605.733333333333</v>
      </c>
      <c r="E30" s="27" t="n">
        <f aca="false">(E14+E16+E17)/(1+Hypothèses!$B$52)*Hypothèses!$B$52+SUMPRODUCT(Hypothèses!$B$61:$B$75,Hypothèses!$E$61:$E$75)*Hypothèses!$B$52/12</f>
        <v>711.333333333333</v>
      </c>
      <c r="F30" s="27" t="n">
        <f aca="false">(F14+F16+F17)/(1+Hypothèses!$B$52)*Hypothèses!$B$52+SUMPRODUCT(Hypothèses!$B$61:$B$75,Hypothèses!$E$61:$E$75)*Hypothèses!$B$52/12</f>
        <v>721.333333333333</v>
      </c>
      <c r="G30" s="27" t="n">
        <f aca="false">(G14+G16+G17)/(1+Hypothèses!$B$52)*Hypothèses!$B$52+SUMPRODUCT(Hypothèses!$B$61:$B$75,Hypothèses!$E$61:$E$75)*Hypothèses!$B$52/12</f>
        <v>721.333333333333</v>
      </c>
      <c r="H30" s="27" t="n">
        <f aca="false">(H14+H16+H17)/(1+Hypothèses!$B$52)*Hypothèses!$B$52+SUMPRODUCT(Hypothèses!$B$61:$B$75,Hypothèses!$E$61:$E$75)*Hypothèses!$B$52/12</f>
        <v>664.533333333333</v>
      </c>
      <c r="I30" s="27" t="n">
        <f aca="false">(I14+I16+I17)/(1+Hypothèses!$B$52)*Hypothèses!$B$52+SUMPRODUCT(Hypothèses!$B$61:$B$75,Hypothèses!$E$61:$E$75)*Hypothèses!$B$52/12</f>
        <v>455.333333333333</v>
      </c>
      <c r="J30" s="27" t="n">
        <f aca="false">(J14+J16+J17)/(1+Hypothèses!$B$52)*Hypothèses!$B$52+SUMPRODUCT(Hypothèses!$B$61:$B$75,Hypothèses!$E$61:$E$75)*Hypothèses!$B$52/12</f>
        <v>768.133333333333</v>
      </c>
      <c r="K30" s="27" t="n">
        <f aca="false">(K14+K16+K17)/(1+Hypothèses!$B$52)*Hypothèses!$B$52+SUMPRODUCT(Hypothèses!$B$61:$B$75,Hypothèses!$E$61:$E$75)*Hypothèses!$B$52/12</f>
        <v>768.133333333333</v>
      </c>
      <c r="L30" s="27" t="n">
        <f aca="false">(L14+L16+L17)/(1+Hypothèses!$B$52)*Hypothèses!$B$52+SUMPRODUCT(Hypothèses!$B$61:$B$75,Hypothèses!$E$61:$E$75)*Hypothèses!$B$52/12</f>
        <v>652.533333333333</v>
      </c>
      <c r="M30" s="27" t="n">
        <f aca="false">(M14+M16+M17)/(1+Hypothèses!$B$52)*Hypothèses!$B$52+SUMPRODUCT(Hypothèses!$B$61:$B$75,Hypothèses!$E$61:$E$75)*Hypothèses!$B$52/12</f>
        <v>593.733333333334</v>
      </c>
      <c r="N30" s="25" t="n">
        <f aca="false">SUM(B30:M30)</f>
        <v>19612</v>
      </c>
    </row>
    <row r="31" customFormat="false" ht="15" hidden="false" customHeight="false" outlineLevel="0" collapsed="false">
      <c r="A31" s="4" t="s">
        <v>285</v>
      </c>
      <c r="B31" s="27" t="n">
        <f aca="false">MAX(0,B29-B30-0)</f>
        <v>0</v>
      </c>
      <c r="C31" s="27" t="n">
        <f aca="false">MAX(0,C29-C30-(B32-IF(2=Hypothèses!$B$56,B32,0)))</f>
        <v>0</v>
      </c>
      <c r="D31" s="27" t="n">
        <f aca="false">MAX(0,D29-D30-(C32-IF(3=Hypothèses!$B$56,C32,0)))</f>
        <v>1036.26666666667</v>
      </c>
      <c r="E31" s="27" t="n">
        <f aca="false">MAX(0,E29-E30-(D32-IF(4=Hypothèses!$B$56,D32,0)))</f>
        <v>1582.66666666667</v>
      </c>
      <c r="F31" s="27" t="n">
        <f aca="false">MAX(0,F29-F30-(E32-IF(5=Hypothèses!$B$56,E32,0)))</f>
        <v>2038.66666666667</v>
      </c>
      <c r="G31" s="27" t="n">
        <f aca="false">MAX(0,G29-G30-(F32-IF(6=Hypothèses!$B$56,F32,0)))</f>
        <v>2038.66666666667</v>
      </c>
      <c r="H31" s="27" t="n">
        <f aca="false">MAX(0,H29-H30-(G32-IF(7=Hypothèses!$B$56,G32,0)))</f>
        <v>1889.46666666667</v>
      </c>
      <c r="I31" s="27" t="n">
        <f aca="false">MAX(0,I29-I30-(H32-IF(8=Hypothèses!$B$56,H32,0)))</f>
        <v>1500.66666666667</v>
      </c>
      <c r="J31" s="27" t="n">
        <f aca="false">MAX(0,J29-J30-(I32-IF(9=Hypothèses!$B$56,I32,0)))</f>
        <v>1341.86666666667</v>
      </c>
      <c r="K31" s="27" t="n">
        <f aca="false">MAX(0,K29-K30-(J32-IF(10=Hypothèses!$B$56,J32,0)))</f>
        <v>2121.86666666667</v>
      </c>
      <c r="L31" s="27" t="n">
        <f aca="false">MAX(0,L29-L30-(K32-IF(11=Hypothèses!$B$56,K32,0)))</f>
        <v>1769.46666666667</v>
      </c>
      <c r="M31" s="27" t="n">
        <f aca="false">MAX(0,M29-M30-(L32-IF(12=Hypothèses!$B$56,L32,0)))</f>
        <v>1306.26666666667</v>
      </c>
      <c r="N31" s="25" t="n">
        <f aca="false">SUM(B31:M31)</f>
        <v>16625.8666666667</v>
      </c>
    </row>
    <row r="32" customFormat="false" ht="15" hidden="false" customHeight="false" outlineLevel="0" collapsed="false">
      <c r="A32" s="4" t="s">
        <v>286</v>
      </c>
      <c r="B32" s="27" t="n">
        <f aca="false">MAX(0,0-(B29-B30))</f>
        <v>11972.5333333333</v>
      </c>
      <c r="C32" s="27" t="n">
        <f aca="false">MAX(0,(B32-IF(2=Hypothèses!$B$56,B32,0))-(C29-C30))</f>
        <v>11175.8666666667</v>
      </c>
      <c r="D32" s="27" t="n">
        <f aca="false">MAX(0,(C32-IF(3=Hypothèses!$B$56,C32,0))-(D29-D30))</f>
        <v>0</v>
      </c>
      <c r="E32" s="27" t="n">
        <f aca="false">MAX(0,(D32-IF(4=Hypothèses!$B$56,D32,0))-(E29-E30))</f>
        <v>0</v>
      </c>
      <c r="F32" s="27" t="n">
        <f aca="false">MAX(0,(E32-IF(5=Hypothèses!$B$56,E32,0))-(F29-F30))</f>
        <v>0</v>
      </c>
      <c r="G32" s="27" t="n">
        <f aca="false">MAX(0,(F32-IF(6=Hypothèses!$B$56,F32,0))-(G29-G30))</f>
        <v>0</v>
      </c>
      <c r="H32" s="27" t="n">
        <f aca="false">MAX(0,(G32-IF(7=Hypothèses!$B$56,G32,0))-(H29-H30))</f>
        <v>0</v>
      </c>
      <c r="I32" s="27" t="n">
        <f aca="false">MAX(0,(H32-IF(8=Hypothèses!$B$56,H32,0))-(I29-I30))</f>
        <v>0</v>
      </c>
      <c r="J32" s="27" t="n">
        <f aca="false">MAX(0,(I32-IF(9=Hypothèses!$B$56,I32,0))-(J29-J30))</f>
        <v>0</v>
      </c>
      <c r="K32" s="27" t="n">
        <f aca="false">MAX(0,(J32-IF(10=Hypothèses!$B$56,J32,0))-(K29-K30))</f>
        <v>0</v>
      </c>
      <c r="L32" s="27" t="n">
        <f aca="false">MAX(0,(K32-IF(11=Hypothèses!$B$56,K32,0))-(L29-L30))</f>
        <v>0</v>
      </c>
      <c r="M32" s="27" t="n">
        <f aca="false">MAX(0,(L32-IF(12=Hypothèses!$B$56,L32,0))-(M29-M30))</f>
        <v>0</v>
      </c>
    </row>
    <row r="34" customFormat="false" ht="15" hidden="false" customHeight="false" outlineLevel="0" collapsed="false">
      <c r="A34" s="6" t="s">
        <v>287</v>
      </c>
      <c r="N34" s="29" t="n">
        <f aca="false">MIN(B26:M26)</f>
        <v>4199.71139529049</v>
      </c>
    </row>
    <row r="35" customFormat="false" ht="15" hidden="false" customHeight="false" outlineLevel="0" collapsed="false">
      <c r="A35" s="2" t="s">
        <v>288</v>
      </c>
      <c r="N35" s="30" t="n">
        <f aca="false">M31-M32</f>
        <v>1306.26666666667</v>
      </c>
    </row>
    <row r="36" customFormat="false" ht="15" hidden="false" customHeight="false" outlineLevel="0" collapsed="false">
      <c r="A36" s="2" t="s">
        <v>289</v>
      </c>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3" min="2" style="0" width="16"/>
    <col collapsed="false" customWidth="true" hidden="false" outlineLevel="0" max="4" min="4" style="0" width="60"/>
  </cols>
  <sheetData>
    <row r="1" customFormat="false" ht="17.35" hidden="false" customHeight="false" outlineLevel="0" collapsed="false">
      <c r="A1" s="1" t="s">
        <v>290</v>
      </c>
    </row>
    <row r="2" customFormat="false" ht="15" hidden="false" customHeight="false" outlineLevel="0" collapsed="false">
      <c r="A2" s="2" t="s">
        <v>291</v>
      </c>
    </row>
    <row r="4" customFormat="false" ht="15" hidden="false" customHeight="false" outlineLevel="0" collapsed="false">
      <c r="A4" s="3" t="s">
        <v>292</v>
      </c>
      <c r="B4" s="3" t="s">
        <v>293</v>
      </c>
      <c r="C4" s="3"/>
      <c r="D4" s="3" t="s">
        <v>146</v>
      </c>
    </row>
    <row r="5" customFormat="false" ht="15" hidden="false" customHeight="false" outlineLevel="0" collapsed="false">
      <c r="A5" s="4" t="s">
        <v>294</v>
      </c>
      <c r="B5" s="5" t="n">
        <f aca="false">Amortissements!$D$4</f>
        <v>5500</v>
      </c>
      <c r="D5" s="2" t="s">
        <v>295</v>
      </c>
    </row>
    <row r="6" customFormat="false" ht="15" hidden="false" customHeight="false" outlineLevel="0" collapsed="false">
      <c r="A6" s="4" t="s">
        <v>296</v>
      </c>
      <c r="B6" s="5" t="n">
        <f aca="false">IF(Financement!$B$11=0,0,Financement!$B$24*Hypothèses!$B$9/Financement!$B$11)</f>
        <v>885.27341147216</v>
      </c>
      <c r="D6" s="2" t="s">
        <v>297</v>
      </c>
    </row>
    <row r="7" customFormat="false" ht="15" hidden="false" customHeight="false" outlineLevel="0" collapsed="false">
      <c r="A7" s="4" t="s">
        <v>298</v>
      </c>
      <c r="B7" s="5" t="n">
        <f aca="false">Hypothèses!$B$62</f>
        <v>1200</v>
      </c>
      <c r="D7" s="2"/>
    </row>
    <row r="8" customFormat="false" ht="15" hidden="false" customHeight="false" outlineLevel="0" collapsed="false">
      <c r="A8" s="4" t="s">
        <v>299</v>
      </c>
      <c r="B8" s="5" t="n">
        <f aca="false">Hypothèses!$B$65</f>
        <v>400</v>
      </c>
      <c r="D8" s="2"/>
    </row>
    <row r="9" customFormat="false" ht="15" hidden="false" customHeight="false" outlineLevel="0" collapsed="false">
      <c r="A9" s="4" t="s">
        <v>300</v>
      </c>
      <c r="B9" s="5" t="n">
        <f aca="false">Hypothèses!$B$64*0.5</f>
        <v>1250</v>
      </c>
      <c r="D9" s="2" t="s">
        <v>301</v>
      </c>
    </row>
    <row r="10" customFormat="false" ht="15" hidden="false" customHeight="false" outlineLevel="0" collapsed="false">
      <c r="A10" s="24" t="s">
        <v>302</v>
      </c>
      <c r="B10" s="25" t="n">
        <f aca="false">SUM(B5:B9)</f>
        <v>9235.27341147216</v>
      </c>
    </row>
    <row r="11" customFormat="false" ht="15" hidden="false" customHeight="false" outlineLevel="0" collapsed="false">
      <c r="A11" s="6" t="s">
        <v>303</v>
      </c>
      <c r="B11" s="40" t="n">
        <f aca="false">B10/12</f>
        <v>769.60611762268</v>
      </c>
    </row>
    <row r="13" customFormat="false" ht="15" hidden="false" customHeight="false" outlineLevel="0" collapsed="false">
      <c r="A13" s="3" t="s">
        <v>304</v>
      </c>
      <c r="B13" s="3" t="s">
        <v>305</v>
      </c>
      <c r="C13" s="3" t="s">
        <v>306</v>
      </c>
      <c r="D13" s="3"/>
    </row>
    <row r="14" customFormat="false" ht="15" hidden="false" customHeight="false" outlineLevel="0" collapsed="false">
      <c r="A14" s="4" t="s">
        <v>307</v>
      </c>
      <c r="B14" s="5" t="n">
        <f aca="false">Hypothèses!$B$31</f>
        <v>280</v>
      </c>
      <c r="C14" s="5" t="n">
        <f aca="false">Hypothèses!$B$32</f>
        <v>750</v>
      </c>
    </row>
    <row r="15" customFormat="false" ht="15" hidden="false" customHeight="false" outlineLevel="0" collapsed="false">
      <c r="A15" s="4" t="s">
        <v>308</v>
      </c>
      <c r="B15" s="27" t="n">
        <v>0</v>
      </c>
      <c r="C15" s="5" t="n">
        <f aca="false">Hypothèses!$B$40</f>
        <v>30</v>
      </c>
      <c r="D15" s="2" t="s">
        <v>309</v>
      </c>
    </row>
    <row r="16" customFormat="false" ht="15" hidden="false" customHeight="false" outlineLevel="0" collapsed="false">
      <c r="A16" s="4" t="s">
        <v>310</v>
      </c>
      <c r="B16" s="5" t="n">
        <f aca="false">Hypothèses!$B$41</f>
        <v>10</v>
      </c>
      <c r="C16" s="5" t="n">
        <f aca="false">Hypothèses!$B$41</f>
        <v>10</v>
      </c>
    </row>
    <row r="17" customFormat="false" ht="15" hidden="false" customHeight="false" outlineLevel="0" collapsed="false">
      <c r="A17" s="2" t="s">
        <v>311</v>
      </c>
      <c r="D17" s="2" t="s">
        <v>312</v>
      </c>
    </row>
    <row r="18" customFormat="false" ht="15" hidden="false" customHeight="false" outlineLevel="0" collapsed="false">
      <c r="A18" s="24" t="s">
        <v>313</v>
      </c>
      <c r="B18" s="25" t="n">
        <f aca="false">B14-B15-B16</f>
        <v>270</v>
      </c>
      <c r="C18" s="25" t="n">
        <f aca="false">C14-C15-C16</f>
        <v>710</v>
      </c>
    </row>
    <row r="20" customFormat="false" ht="15" hidden="false" customHeight="false" outlineLevel="0" collapsed="false">
      <c r="A20" s="3" t="s">
        <v>314</v>
      </c>
      <c r="B20" s="3" t="s">
        <v>305</v>
      </c>
      <c r="C20" s="3" t="s">
        <v>306</v>
      </c>
      <c r="D20" s="3"/>
    </row>
    <row r="21" customFormat="false" ht="15" hidden="false" customHeight="false" outlineLevel="0" collapsed="false">
      <c r="A21" s="4" t="s">
        <v>315</v>
      </c>
      <c r="B21" s="44" t="n">
        <f aca="false">IF(B$18&lt;=0,0,$B$11/B$18)</f>
        <v>2.85039302823215</v>
      </c>
      <c r="C21" s="44" t="n">
        <f aca="false">IF(C$18&lt;=0,0,$B$11/C$18)</f>
        <v>1.0839522783418</v>
      </c>
      <c r="D21" s="2" t="s">
        <v>316</v>
      </c>
    </row>
    <row r="22" customFormat="false" ht="15" hidden="false" customHeight="false" outlineLevel="0" collapsed="false">
      <c r="A22" s="4" t="s">
        <v>317</v>
      </c>
      <c r="B22" s="44" t="n">
        <f aca="false">IF(B$18&lt;=0,0,(Financement!$B$18+($B$7+$B$8+$B$9)/12)/B$18)</f>
        <v>4.73180964707225</v>
      </c>
      <c r="C22" s="44" t="n">
        <f aca="false">IF(C$18&lt;=0,0,(Financement!$B$18+($B$7+$B$8+$B$9)/12)/C$18)</f>
        <v>1.79942057001339</v>
      </c>
      <c r="D22" s="2" t="s">
        <v>318</v>
      </c>
    </row>
    <row r="23" customFormat="false" ht="15" hidden="false" customHeight="false" outlineLevel="0" collapsed="false">
      <c r="A23" s="4" t="s">
        <v>319</v>
      </c>
      <c r="B23" s="44" t="n">
        <f aca="false">IF(B$18&lt;=0,0,(('Compte de résultat'!$B$18+'Compte de résultat'!$B$19+'Compte de résultat'!$B$23+'Compte de résultat'!$B$25)/12)/B$18)</f>
        <v>10.5092447428088</v>
      </c>
      <c r="C23" s="44" t="n">
        <f aca="false">IF(C$18&lt;=0,0,(('Compte de résultat'!$B$18+'Compte de résultat'!$B$19+'Compte de résultat'!$B$23+'Compte de résultat'!$B$25)/12)/C$18)</f>
        <v>3.99647335289911</v>
      </c>
      <c r="D23" s="2" t="s">
        <v>320</v>
      </c>
    </row>
    <row r="24" customFormat="false" ht="15" hidden="false" customHeight="false" outlineLevel="0" collapsed="false">
      <c r="A24" s="6" t="s">
        <v>321</v>
      </c>
      <c r="B24" s="45" t="n">
        <f aca="false">IF(B$18&lt;=0,0,(('Compte de résultat'!$B$18+'Compte de résultat'!$B$19+'Compte de résultat'!$B$23+'Compte de résultat'!$B$25+'Compte de résultat'!$B$20+'Compte de résultat'!$B$21)/12)/B$18)</f>
        <v>18.5648002983643</v>
      </c>
      <c r="C24" s="45" t="n">
        <f aca="false">IF(C$18&lt;=0,0,(('Compte de résultat'!$B$18+'Compte de résultat'!$B$19+'Compte de résultat'!$B$23+'Compte de résultat'!$B$25+'Compte de résultat'!$B$20+'Compte de résultat'!$B$21)/12)/C$18)</f>
        <v>7.05985363458926</v>
      </c>
      <c r="D24" s="2" t="s">
        <v>322</v>
      </c>
    </row>
    <row r="25" customFormat="false" ht="15" hidden="false" customHeight="false" outlineLevel="0" collapsed="false">
      <c r="A25" s="2" t="s">
        <v>323</v>
      </c>
      <c r="B25" s="8" t="n">
        <f aca="false">'Activité A1'!$N$5/12</f>
        <v>7.66666666666667</v>
      </c>
      <c r="C25" s="8" t="n">
        <f aca="false">'Activité A1'!$N$6/12</f>
        <v>4.41666666666667</v>
      </c>
    </row>
    <row r="26" customFormat="false" ht="15" hidden="false" customHeight="false" outlineLevel="0" collapsed="false">
      <c r="A26" s="2" t="s">
        <v>324</v>
      </c>
      <c r="B26" s="44" t="n">
        <f aca="false">IF(Hypothèses!$B$31=0,0,'Activité A1'!$N$19/12/Hypothèses!$B$31)</f>
        <v>19.3452380952381</v>
      </c>
      <c r="C26" s="44" t="n">
        <f aca="false">IF(Hypothèses!$B$32=0,0,'Activité A1'!$N$19/12/Hypothèses!$B$32)</f>
        <v>7.22222222222222</v>
      </c>
    </row>
    <row r="28" customFormat="false" ht="15" hidden="false" customHeight="false" outlineLevel="0" collapsed="false">
      <c r="A28" s="3" t="s">
        <v>325</v>
      </c>
      <c r="B28" s="3" t="s">
        <v>3</v>
      </c>
      <c r="C28" s="3"/>
      <c r="D28" s="3"/>
    </row>
    <row r="29" customFormat="false" ht="15" hidden="false" customHeight="false" outlineLevel="0" collapsed="false">
      <c r="A29" s="4" t="s">
        <v>326</v>
      </c>
      <c r="B29" s="5" t="n">
        <f aca="false">'Compte de résultat'!$B$18+'Compte de résultat'!$B$19+'Compte de résultat'!$B$20+'Compte de résultat'!$B$21+'Compte de résultat'!$B$23+'Compte de résultat'!$B$25</f>
        <v>60149.9529667005</v>
      </c>
    </row>
    <row r="30" customFormat="false" ht="15" hidden="false" customHeight="false" outlineLevel="0" collapsed="false">
      <c r="A30" s="4" t="s">
        <v>238</v>
      </c>
      <c r="B30" s="9" t="n">
        <f aca="false">'Compte de résultat'!$B$15</f>
        <v>0.797410160140985</v>
      </c>
    </row>
    <row r="31" customFormat="false" ht="15" hidden="false" customHeight="false" outlineLevel="0" collapsed="false">
      <c r="A31" s="24" t="s">
        <v>327</v>
      </c>
      <c r="B31" s="29" t="n">
        <f aca="false">IF(B30&lt;=0,0,B29/B30)</f>
        <v>75431.6360304033</v>
      </c>
    </row>
    <row r="32" customFormat="false" ht="15" hidden="false" customHeight="false" outlineLevel="0" collapsed="false">
      <c r="A32" s="4" t="s">
        <v>328</v>
      </c>
      <c r="B32" s="5" t="n">
        <f aca="false">'Compte de résultat'!$B$7</f>
        <v>130510</v>
      </c>
    </row>
    <row r="33" customFormat="false" ht="15" hidden="false" customHeight="false" outlineLevel="0" collapsed="false">
      <c r="A33" s="4" t="s">
        <v>329</v>
      </c>
      <c r="B33" s="38" t="n">
        <f aca="false">IF(B32=0,0,(B32-B31)/B32)</f>
        <v>0.42202408987508</v>
      </c>
    </row>
    <row r="34" customFormat="false" ht="15" hidden="false" customHeight="false" outlineLevel="0" collapsed="false">
      <c r="A34" s="4" t="s">
        <v>330</v>
      </c>
      <c r="B34" s="46" t="n">
        <f aca="false">IF(B32=0,0,B31/B32*12)</f>
        <v>6.93571092149904</v>
      </c>
    </row>
    <row r="36" customFormat="false" ht="15" hidden="false" customHeight="false" outlineLevel="0" collapsed="false">
      <c r="A36" s="3" t="s">
        <v>331</v>
      </c>
      <c r="B36" s="3" t="s">
        <v>332</v>
      </c>
      <c r="C36" s="3" t="s">
        <v>333</v>
      </c>
      <c r="D36" s="3"/>
    </row>
    <row r="37" customFormat="false" ht="15" hidden="false" customHeight="false" outlineLevel="0" collapsed="false">
      <c r="A37" s="4" t="s">
        <v>334</v>
      </c>
      <c r="B37" s="20" t="n">
        <v>0.6</v>
      </c>
      <c r="C37" s="27" t="n">
        <f aca="false">B37*'Compte de résultat'!$B$14-$B$29</f>
        <v>2292.04703329955</v>
      </c>
    </row>
    <row r="38" customFormat="false" ht="15" hidden="false" customHeight="false" outlineLevel="0" collapsed="false">
      <c r="A38" s="4" t="s">
        <v>335</v>
      </c>
      <c r="B38" s="20" t="n">
        <v>0.7</v>
      </c>
      <c r="C38" s="27" t="n">
        <f aca="false">B38*'Compte de résultat'!$B$14-$B$29</f>
        <v>12699.0470332995</v>
      </c>
    </row>
    <row r="39" customFormat="false" ht="15" hidden="false" customHeight="false" outlineLevel="0" collapsed="false">
      <c r="A39" s="4" t="s">
        <v>336</v>
      </c>
      <c r="B39" s="20" t="n">
        <v>0.8</v>
      </c>
      <c r="C39" s="27" t="n">
        <f aca="false">B39*'Compte de résultat'!$B$14-$B$29</f>
        <v>23106.0470332995</v>
      </c>
    </row>
    <row r="40" customFormat="false" ht="15" hidden="false" customHeight="false" outlineLevel="0" collapsed="false">
      <c r="A40" s="4" t="s">
        <v>337</v>
      </c>
      <c r="B40" s="20" t="n">
        <v>0.9</v>
      </c>
      <c r="C40" s="27" t="n">
        <f aca="false">B40*'Compte de résultat'!$B$14-$B$29</f>
        <v>33513.0470332996</v>
      </c>
    </row>
    <row r="41" customFormat="false" ht="15" hidden="false" customHeight="false" outlineLevel="0" collapsed="false">
      <c r="A41" s="4" t="s">
        <v>338</v>
      </c>
      <c r="B41" s="20" t="n">
        <v>1</v>
      </c>
      <c r="C41" s="40" t="n">
        <f aca="false">B41*'Compte de résultat'!$B$14-$B$29</f>
        <v>43920.0470332996</v>
      </c>
    </row>
    <row r="42" customFormat="false" ht="15" hidden="false" customHeight="false" outlineLevel="0" collapsed="false">
      <c r="A42" s="4" t="s">
        <v>339</v>
      </c>
      <c r="B42" s="20" t="n">
        <v>1.1</v>
      </c>
      <c r="C42" s="27" t="n">
        <f aca="false">B42*'Compte de résultat'!$B$14-$B$29</f>
        <v>54327.0470332996</v>
      </c>
    </row>
    <row r="43" customFormat="false" ht="15" hidden="false" customHeight="false" outlineLevel="0" collapsed="false">
      <c r="A43" s="4" t="s">
        <v>340</v>
      </c>
      <c r="B43" s="20" t="n">
        <v>1.2</v>
      </c>
      <c r="C43" s="27" t="n">
        <f aca="false">B43*'Compte de résultat'!$B$14-$B$29</f>
        <v>64734.0470332996</v>
      </c>
    </row>
    <row r="44" customFormat="false" ht="15" hidden="false" customHeight="false" outlineLevel="0" collapsed="false">
      <c r="A44" s="2" t="s">
        <v>341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2026-09-23T06:02:26Z</dcterms:created>
  <dc:creator>openpyxl</dc:creator>
  <dc:description/>
  <dc:language>en-US</dc:language>
  <cp:lastModifiedBy/>
  <dcterms:modified xsi:type="dcterms:W3CDTF">2026-09-23T06:02:28Z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